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Samples" sheetId="3" state="visible" r:id="rId5"/>
    <sheet name="Fig2a_Dielectric" sheetId="4" state="visible" r:id="rId6"/>
    <sheet name="Fig2b_Thermal" sheetId="5" state="visible" r:id="rId7"/>
    <sheet name="Fig2c_IR" sheetId="6" state="visible" r:id="rId8"/>
    <sheet name="Fig3a_Tensile" sheetId="7" state="visible" r:id="rId9"/>
    <sheet name="Fig3b_CTE" sheetId="8" state="visible" r:id="rId10"/>
    <sheet name="Fig4a_EpsMap" sheetId="9" state="visible" r:id="rId11"/>
    <sheet name="Fig4b_LamMap" sheetId="10" state="visible" r:id="rId12"/>
    <sheet name="Fig4c_Loci" sheetId="11" state="visible" r:id="rId13"/>
    <sheet name="Fig4d_MaxLambda" sheetId="12" state="visible" r:id="rId14"/>
  </sheets>
  <definedNames>
    <definedName function="false" hidden="false" name="A_BN_eps" vbProcedure="false">Parameters!$B$7</definedName>
    <definedName function="false" hidden="false" name="A_BN_lam" vbProcedure="false">Parameters!$B$14</definedName>
    <definedName function="false" hidden="false" name="A_pore" vbProcedure="false">Parameters!$B$9</definedName>
    <definedName function="false" hidden="false" name="eps_air" vbProcedure="false">Parameters!$B$6</definedName>
    <definedName function="false" hidden="false" name="eps_BN" vbProcedure="false">Parameters!$B$5</definedName>
    <definedName function="false" hidden="false" name="eps_PI" vbProcedure="false">Parameters!$B$4</definedName>
    <definedName function="false" hidden="false" name="lam_air" vbProcedure="false">Parameters!$B$13</definedName>
    <definedName function="false" hidden="false" name="lam_BN_eff" vbProcedure="false">Parameters!$B$12</definedName>
    <definedName function="false" hidden="false" name="lam_PI" vbProcedure="false">Parameters!$B$11</definedName>
    <definedName function="false" hidden="false" name="phimax_BN_eps" vbProcedure="false">Parameters!$B$8</definedName>
    <definedName function="false" hidden="false" name="phimax_BN_lam" vbProcedure="false">Parameters!$B$15</definedName>
    <definedName function="false" hidden="false" name="phimax_pore" vbProcedure="false">Parameters!$B$10</definedName>
    <definedName function="false" hidden="false" name="rho_BN" vbProcedure="false">Parameters!$B$17</definedName>
    <definedName function="false" hidden="false" name="rho_PI" vbProcedure="false">Parameters!$B$16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<sst xmlns="http://schemas.openxmlformats.org/spreadsheetml/2006/main" count="230" uniqueCount="181">
  <si>
    <t xml:space="preserve">PIBN revised manuscript: plot-ready data for Figures 2, 3, 4</t>
  </si>
  <si>
    <t xml:space="preserve">Legend</t>
  </si>
  <si>
    <t xml:space="preserve">  Blue text  = measured values transcribed from the manuscript (Tables 2-4, Section 4.1 thickness data, Fig. 2c thermography).</t>
  </si>
  <si>
    <t xml:space="preserve">  Black text = three-phase Lewis-Nielsen model, computed by live formulas from the Parameters sheet.</t>
  </si>
  <si>
    <t xml:space="preserve">  Yellow fill = editable inputs (Parameters sheet). Change a parameter and every model series recalculates.</t>
  </si>
  <si>
    <t xml:space="preserve">Sheet -&gt; figure panel</t>
  </si>
  <si>
    <t xml:space="preserve">  Parameters      constants of the model (eps_PI, eps_BN, A_BN, A_pore, lam_BN_eff, ...)</t>
  </si>
  <si>
    <t xml:space="preserve">  Samples         all ten films: composition, porosity (open/total), density, Cp, alpha, lambda, eps, tensile, CTE + model columns</t>
  </si>
  <si>
    <t xml:space="preserve">  Fig2a_Dielectric   eps (100 kHz) vs h-BN wt%: NP/HP measured, LN model at each film's open porosity, KOPTRI point</t>
  </si>
  <si>
    <t xml:space="preserve">  Fig2b_Thermal      lambda vs h-BN wt%: measured (laser flash), LN model at each film's open porosity; blanks = not measured (fragile)</t>
  </si>
  <si>
    <t xml:space="preserve">  Fig2c_IR           spot temperatures read from the infrared images (200 C stage), for the annotation of panel (c)</t>
  </si>
  <si>
    <t xml:space="preserve">  Fig3a_Tensile      tensile strength NP/HP and NP-&gt;HP change (%)</t>
  </si>
  <si>
    <t xml:space="preserve">  Fig3b_CTE          CTE of HP films with Turner (lower) and rule-of-mixtures (upper) bounds; PCB window 3-17 ppm/K</t>
  </si>
  <si>
    <t xml:space="preserve">  Fig4a_EpsMap       eps grid: rows = porosity (%), columns = h-BN wt%  (contour/heat map) + measured NP/HP overlay for arrows</t>
  </si>
  <si>
    <t xml:space="preserve">  Fig4b_LamMap       lambda grid, same layout as Fig4a</t>
  </si>
  <si>
    <t xml:space="preserve">  Fig4c_Loci         eps-lambda loci: porosity swept 20-95 % for 0/10/30/50/70 wt%; measured 70 wt% points</t>
  </si>
  <si>
    <t xml:space="preserve">  Fig4d_MaxLambda    maximum lambda under an eps ceiling (porosity optimised), per loading; stars = 70 wt% at eps &lt;= 1.6 and 1.8</t>
  </si>
  <si>
    <t xml:space="preserve">Notes</t>
  </si>
  <si>
    <t xml:space="preserve">  1. lambda measured values are alpha*rho*Cp from Table 3 (0.063, 0.091, 0.305 NP; 0.114, 0.051, 0.088, 0.279 HP). The earlier workbook</t>
  </si>
  <si>
    <t xml:space="preserve">     used values digitised from the old figure (0.06, 0.09, 0.047, 0.084, 0.11); the Table 3 values are the ones to plot.</t>
  </si>
  <si>
    <t xml:space="preserve">  2. The model uses the OPEN (mercury intrusion) porosity as the pore input, as in the manuscript. Total porosity is listed for reference.</t>
  </si>
  <si>
    <t xml:space="preserve">  3. Panel (d) uses INDEX/MATCH on the Fig4c_Loci sheet (porosity step 0.5 %); resolution of the reported optimum is +/-0.25 % porosity.</t>
  </si>
  <si>
    <t xml:space="preserve">  4. Model constants reproduce Table 2 of the manuscript to +/-0.002 and the thermal RMSE of 0.027/0.030 W m-1 K-1.</t>
  </si>
  <si>
    <t xml:space="preserve">Three-phase Lewis-Nielsen model parameters (edit yellow cells only)</t>
  </si>
  <si>
    <t xml:space="preserve">Name</t>
  </si>
  <si>
    <t xml:space="preserve">Value</t>
  </si>
  <si>
    <t xml:space="preserve">Unit</t>
  </si>
  <si>
    <t xml:space="preserve">Meaning / source</t>
  </si>
  <si>
    <t xml:space="preserve">eps_PI</t>
  </si>
  <si>
    <t xml:space="preserve">-</t>
  </si>
  <si>
    <t xml:space="preserve">Dielectric constant of dense PMDA-ODA PI (manuscript Section 3.1)</t>
  </si>
  <si>
    <t xml:space="preserve">eps_BN</t>
  </si>
  <si>
    <t xml:space="preserve">Dielectric constant of h-BN (manuscript Section 1)</t>
  </si>
  <si>
    <t xml:space="preserve">eps_air</t>
  </si>
  <si>
    <t xml:space="preserve">Dielectric constant of air</t>
  </si>
  <si>
    <t xml:space="preserve">A_BN_eps</t>
  </si>
  <si>
    <t xml:space="preserve">h-BN shape factor, dielectric model (fitted, weakly determined; Table 1)</t>
  </si>
  <si>
    <t xml:space="preserve">phimax_BN_eps</t>
  </si>
  <si>
    <t xml:space="preserve">h-BN max. packing, dielectric model (boundary; Table 1)</t>
  </si>
  <si>
    <t xml:space="preserve">A_pore</t>
  </si>
  <si>
    <t xml:space="preserve">Pore shape factor (fitted; Table 1)</t>
  </si>
  <si>
    <t xml:space="preserve">phimax_pore</t>
  </si>
  <si>
    <t xml:space="preserve">Pore max. packing (boundary; Table 1)</t>
  </si>
  <si>
    <t xml:space="preserve">lam_PI</t>
  </si>
  <si>
    <t xml:space="preserve">W m-1 K-1</t>
  </si>
  <si>
    <t xml:space="preserve">Thermal conductivity of dense PI</t>
  </si>
  <si>
    <t xml:space="preserve">lam_BN_eff</t>
  </si>
  <si>
    <t xml:space="preserve">Effective h-BN conductivity (fitted, single parameter; Table 1)</t>
  </si>
  <si>
    <t xml:space="preserve">lam_air</t>
  </si>
  <si>
    <t xml:space="preserve">Thermal conductivity of air</t>
  </si>
  <si>
    <t xml:space="preserve">A_BN_lam</t>
  </si>
  <si>
    <t xml:space="preserve">h-BN shape factor, thermal model (fixed, literature; Table 1)</t>
  </si>
  <si>
    <t xml:space="preserve">phimax_BN_lam</t>
  </si>
  <si>
    <t xml:space="preserve">h-BN max. packing, thermal model (fixed, literature; Table 1)</t>
  </si>
  <si>
    <t xml:space="preserve">rho_PI</t>
  </si>
  <si>
    <t xml:space="preserve">g cm-3</t>
  </si>
  <si>
    <t xml:space="preserve">Density of PI (Section 3.1)</t>
  </si>
  <si>
    <t xml:space="preserve">rho_BN</t>
  </si>
  <si>
    <t xml:space="preserve">Density of h-BN (Section 3.1)</t>
  </si>
  <si>
    <t xml:space="preserve">All ten films: measured data (blue) and model columns (formulas)</t>
  </si>
  <si>
    <t xml:space="preserve">h-BN (wt%)</t>
  </si>
  <si>
    <t xml:space="preserve">State</t>
  </si>
  <si>
    <t xml:space="preserve">phi_open (%)  Hg intrusion</t>
  </si>
  <si>
    <t xml:space="preserve">phi_total (%)  1-rho/rho_solid</t>
  </si>
  <si>
    <t xml:space="preserve">rho (g cm-3)</t>
  </si>
  <si>
    <t xml:space="preserve">Cp (J g-1 K-1)</t>
  </si>
  <si>
    <t xml:space="preserve">alpha (mm2 s-1)</t>
  </si>
  <si>
    <t xml:space="preserve">lambda_exp (W m-1 K-1)</t>
  </si>
  <si>
    <t xml:space="preserve">eps_exp (100 kHz)</t>
  </si>
  <si>
    <t xml:space="preserve">Tensile (MPa)</t>
  </si>
  <si>
    <t xml:space="preserve">CTE_exp HP (ppm K-1)</t>
  </si>
  <si>
    <t xml:space="preserve">CTE_Turner (ppm K-1)</t>
  </si>
  <si>
    <t xml:space="preserve">CTE_ROM (ppm K-1)</t>
  </si>
  <si>
    <t xml:space="preserve">Thickness SEM (um)</t>
  </si>
  <si>
    <t xml:space="preserve">Delta t (%)</t>
  </si>
  <si>
    <t xml:space="preserve">phi_BN (solid vol frac)</t>
  </si>
  <si>
    <t xml:space="preserve">rho_solid (g cm-3)</t>
  </si>
  <si>
    <t xml:space="preserve">eps_dense (model)</t>
  </si>
  <si>
    <t xml:space="preserve">eps_LN (model)</t>
  </si>
  <si>
    <t xml:space="preserve">Delta_eps (%)</t>
  </si>
  <si>
    <t xml:space="preserve">lam_dense (model)</t>
  </si>
  <si>
    <t xml:space="preserve">lam_LN (model)</t>
  </si>
  <si>
    <t xml:space="preserve">Delta_lam (%)</t>
  </si>
  <si>
    <t xml:space="preserve">NP</t>
  </si>
  <si>
    <t xml:space="preserve">lambda not measured (film fragility)</t>
  </si>
  <si>
    <t xml:space="preserve">tensile not tested (brittle)</t>
  </si>
  <si>
    <t xml:space="preserve">HP</t>
  </si>
  <si>
    <t xml:space="preserve">KOPTRI cross-check eps = 1.610 (ASTM D150)</t>
  </si>
  <si>
    <t xml:space="preserve">Sources: phi_open, rho, Cp, alpha, lambda = Table 3; eps = Table 2; tensile, CTE, Turner, ROM = Table 4; thickness = Fig. 1 SEM labels; Delta t = Section 4.1.</t>
  </si>
  <si>
    <t xml:space="preserve">RMSE check:</t>
  </si>
  <si>
    <t xml:space="preserve">eps NP</t>
  </si>
  <si>
    <t xml:space="preserve">eps HP</t>
  </si>
  <si>
    <t xml:space="preserve">lam NP</t>
  </si>
  <si>
    <t xml:space="preserve">lam HP</t>
  </si>
  <si>
    <t xml:space="preserve">Figure 2a: dielectric constant (100 kHz) vs h-BN content</t>
  </si>
  <si>
    <t xml:space="preserve">eps_NP_exp</t>
  </si>
  <si>
    <t xml:space="preserve">eps_HP_exp</t>
  </si>
  <si>
    <t xml:space="preserve">eps_LN_NP (model at NP open porosity)</t>
  </si>
  <si>
    <t xml:space="preserve">eps_LN_HP (model at HP open porosity)</t>
  </si>
  <si>
    <t xml:space="preserve">KOPTRI HP 30 wt% (not fitted)</t>
  </si>
  <si>
    <t xml:space="preserve">eps_air (reference line)</t>
  </si>
  <si>
    <t xml:space="preserve">Plot: filled circles/squares = measured NP/HP (solid lines); open symbols + dashed lines = model; black diamond = KOPTRI; dotted line at eps = 1 (air).</t>
  </si>
  <si>
    <t xml:space="preserve">Figure 2b: thermal conductivity vs h-BN content (W m-1 K-1)</t>
  </si>
  <si>
    <t xml:space="preserve">lam_NP_exp</t>
  </si>
  <si>
    <t xml:space="preserve">lam_HP_exp</t>
  </si>
  <si>
    <t xml:space="preserve">lam_LN_NP (model at NP open porosity)</t>
  </si>
  <si>
    <t xml:space="preserve">lam_LN_HP (model at HP open porosity)</t>
  </si>
  <si>
    <t xml:space="preserve">NP measured?</t>
  </si>
  <si>
    <t xml:space="preserve">HP measured?</t>
  </si>
  <si>
    <t xml:space="preserve">Plot: filled symbols = measured; open symbols = model at each film's own porosity, joined by a vertical tie-line; crosses at compositions marked 'no'.</t>
  </si>
  <si>
    <t xml:space="preserve">Figure 2c: infrared thermography spot temperatures (200 C stage; uncorrected radiometric values)</t>
  </si>
  <si>
    <t xml:space="preserve">T_spot NP (C)</t>
  </si>
  <si>
    <t xml:space="preserve">T_spot HP (C)</t>
  </si>
  <si>
    <t xml:space="preserve">Label NP</t>
  </si>
  <si>
    <t xml:space="preserve">Label HP</t>
  </si>
  <si>
    <t xml:space="preserve">Values read from the Sp1 annotation of each FLIR frame (Fig. 2c). Comparative only: emissivity not corrected. Equilibration time before imaging: [5] min (to be confirmed).</t>
  </si>
  <si>
    <t xml:space="preserve">Figure 3a: tensile strength (MPa), n = 1 per bar</t>
  </si>
  <si>
    <t xml:space="preserve">NP (MPa)</t>
  </si>
  <si>
    <t xml:space="preserve">HP (MPa)</t>
  </si>
  <si>
    <t xml:space="preserve">NP-&gt;HP change (%)</t>
  </si>
  <si>
    <t xml:space="preserve">Label</t>
  </si>
  <si>
    <t xml:space="preserve">70 wt%: draw a small baseline stub (not zero) and label 'not tested (too brittle)'.</t>
  </si>
  <si>
    <t xml:space="preserve">Figure 3b: CTE of HP films (ppm K-1) with Turner and rule-of-mixtures bounds</t>
  </si>
  <si>
    <t xml:space="preserve">CTE_exp HP</t>
  </si>
  <si>
    <t xml:space="preserve">Turner (lower bound)</t>
  </si>
  <si>
    <t xml:space="preserve">ROM (upper bound)</t>
  </si>
  <si>
    <t xml:space="preserve">PCB window low</t>
  </si>
  <si>
    <t xml:space="preserve">PCB window high</t>
  </si>
  <si>
    <t xml:space="preserve">Turner and ROM computed with alpha_PI = 41.92 ppm/K (measured, neat HP), E_PI = 3.5 GPa, E_BN = 200 GPa, alpha_BN = 1.5 ppm/K (Table 4). Shade 3-17 ppm/K as the PCB target zone; annotate 10.1 ppm/K at 70 wt%.</t>
  </si>
  <si>
    <t xml:space="preserve">Figure 4a: eps design map (three-phase LN model)</t>
  </si>
  <si>
    <t xml:space="preserve">helper rows: 3 = h-BN wt%, 4 = phi_BN, 5 = dense-composite property, 6 = B_pore. Grid from row 8: rows = porosity (%), columns = wt%.</t>
  </si>
  <si>
    <t xml:space="preserve">wt% -&gt;</t>
  </si>
  <si>
    <t xml:space="preserve">phi_BN</t>
  </si>
  <si>
    <t xml:space="preserve">dense property</t>
  </si>
  <si>
    <t xml:space="preserve">B_pore</t>
  </si>
  <si>
    <t xml:space="preserve">porosity (%) \ wt%</t>
  </si>
  <si>
    <t xml:space="preserve">Measured overlay (for symbols and NP-&gt;HP arrows)</t>
  </si>
  <si>
    <t xml:space="preserve">phi_open NP (%)</t>
  </si>
  <si>
    <t xml:space="preserve">phi_open HP (%)</t>
  </si>
  <si>
    <t xml:space="preserve">arrow dx</t>
  </si>
  <si>
    <t xml:space="preserve">arrow dy</t>
  </si>
  <si>
    <t xml:space="preserve">Faded bands in the figure: porosity &gt; 91 % and &lt; 30 % (outside the measured range).</t>
  </si>
  <si>
    <t xml:space="preserve">Suggested contour levels: eps 1.5, 1.8, 2.0; lambda 0.05, 0.12, 0.20 W m-1 K-1.</t>
  </si>
  <si>
    <t xml:space="preserve">Figure 4b: lambda design map, W m-1 K-1 (three-phase LN model)</t>
  </si>
  <si>
    <t xml:space="preserve">Figure 4c: eps-lambda loci, porosity swept along each curve (x = eps, y = lambda)</t>
  </si>
  <si>
    <t xml:space="preserve">eps_dense</t>
  </si>
  <si>
    <t xml:space="preserve">B_pore_eps</t>
  </si>
  <si>
    <t xml:space="preserve">lam_dense</t>
  </si>
  <si>
    <t xml:space="preserve">B_pore_lam</t>
  </si>
  <si>
    <t xml:space="preserve">porosity (%)</t>
  </si>
  <si>
    <t xml:space="preserve">eps_0wt</t>
  </si>
  <si>
    <t xml:space="preserve">lam_0wt</t>
  </si>
  <si>
    <t xml:space="preserve">eps_10wt</t>
  </si>
  <si>
    <t xml:space="preserve">lam_10wt</t>
  </si>
  <si>
    <t xml:space="preserve">eps_30wt</t>
  </si>
  <si>
    <t xml:space="preserve">lam_30wt</t>
  </si>
  <si>
    <t xml:space="preserve">eps_50wt</t>
  </si>
  <si>
    <t xml:space="preserve">lam_50wt</t>
  </si>
  <si>
    <t xml:space="preserve">eps_70wt</t>
  </si>
  <si>
    <t xml:space="preserve">lam_70wt</t>
  </si>
  <si>
    <t xml:space="preserve">Measured 70 wt% films (overlay)</t>
  </si>
  <si>
    <t xml:space="preserve">eps_exp</t>
  </si>
  <si>
    <t xml:space="preserve">lam_exp</t>
  </si>
  <si>
    <t xml:space="preserve">phi_open (%)</t>
  </si>
  <si>
    <t xml:space="preserve">Target zone shading: eps &lt;= 1.8 (vertical band). Plot each wt% as a line with eps on x and lambda on y; highlight 70 wt%.</t>
  </si>
  <si>
    <t xml:space="preserve">The 50 wt% columns (H:I) are also the porosity-sensitivity curves of Figure S3.</t>
  </si>
  <si>
    <t xml:space="preserve">Figure 4d: maximum lambda under an eps ceiling (porosity optimised), from the loci of Fig4c (porosity step 0.5 %)</t>
  </si>
  <si>
    <t xml:space="preserve">eps ceiling</t>
  </si>
  <si>
    <t xml:space="preserve">max lam_0wt</t>
  </si>
  <si>
    <t xml:space="preserve">porosity*_0wt (%)</t>
  </si>
  <si>
    <t xml:space="preserve">max lam_10wt</t>
  </si>
  <si>
    <t xml:space="preserve">porosity*_10wt (%)</t>
  </si>
  <si>
    <t xml:space="preserve">max lam_30wt</t>
  </si>
  <si>
    <t xml:space="preserve">porosity*_30wt (%)</t>
  </si>
  <si>
    <t xml:space="preserve">max lam_50wt</t>
  </si>
  <si>
    <t xml:space="preserve">porosity*_50wt (%)</t>
  </si>
  <si>
    <t xml:space="preserve">max lam_70wt</t>
  </si>
  <si>
    <t xml:space="preserve">porosity*_70wt (%)</t>
  </si>
  <si>
    <t xml:space="preserve">Stars (70 wt%)</t>
  </si>
  <si>
    <t xml:space="preserve">porosity* (%)</t>
  </si>
  <si>
    <t xml:space="preserve">A cell showing N/A means the ceiling lies below the lowest eps reachable at 95 % porosity for that loading (outside the plotted range). Plot x = eps ceiling, y = max lambda, one line per loading.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</si>
</sst>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23</v>
      </c>
    </row>
    <row r="3" customFormat="false" ht="15" hidden="false" customHeight="false" outlineLevel="0" collapsed="false">
      <c r="A3" s="5" t="s">
        <v>24</v>
      </c>
      <c r="B3" s="5" t="s">
        <v>25</v>
      </c>
      <c r="C3" s="5" t="s">
        <v>26</v>
      </c>
      <c r="D3" s="5" t="s">
        <v>27</v>
      </c>
    </row>
    <row r="4" customFormat="false" ht="15" hidden="false" customHeight="false" outlineLevel="0" collapsed="false">
      <c r="A4" s="3" t="s">
        <v>28</v>
      </c>
      <c r="B4" s="6" t="n">
        <v>3.5</v>
      </c>
      <c r="C4" s="2" t="s">
        <v>29</v>
      </c>
      <c r="D4" s="7" t="s">
        <v>30</v>
      </c>
    </row>
    <row r="5" customFormat="false" ht="15" hidden="false" customHeight="false" outlineLevel="0" collapsed="false">
      <c r="A5" s="3" t="s">
        <v>31</v>
      </c>
      <c r="B5" s="6" t="n">
        <v>6</v>
      </c>
      <c r="C5" s="2" t="s">
        <v>29</v>
      </c>
      <c r="D5" s="7" t="s">
        <v>32</v>
      </c>
    </row>
    <row r="6" customFormat="false" ht="15" hidden="false" customHeight="false" outlineLevel="0" collapsed="false">
      <c r="A6" s="3" t="s">
        <v>33</v>
      </c>
      <c r="B6" s="6" t="n">
        <v>1</v>
      </c>
      <c r="C6" s="2" t="s">
        <v>29</v>
      </c>
      <c r="D6" s="7" t="s">
        <v>34</v>
      </c>
    </row>
    <row r="7" customFormat="false" ht="15" hidden="false" customHeight="false" outlineLevel="0" collapsed="false">
      <c r="A7" s="3" t="s">
        <v>35</v>
      </c>
      <c r="B7" s="6" t="n">
        <v>0.68</v>
      </c>
      <c r="C7" s="2" t="s">
        <v>29</v>
      </c>
      <c r="D7" s="7" t="s">
        <v>36</v>
      </c>
    </row>
    <row r="8" customFormat="false" ht="15" hidden="false" customHeight="false" outlineLevel="0" collapsed="false">
      <c r="A8" s="3" t="s">
        <v>37</v>
      </c>
      <c r="B8" s="6" t="n">
        <v>0.99</v>
      </c>
      <c r="C8" s="2" t="s">
        <v>29</v>
      </c>
      <c r="D8" s="7" t="s">
        <v>38</v>
      </c>
    </row>
    <row r="9" customFormat="false" ht="15" hidden="false" customHeight="false" outlineLevel="0" collapsed="false">
      <c r="A9" s="3" t="s">
        <v>39</v>
      </c>
      <c r="B9" s="6" t="n">
        <v>0.08</v>
      </c>
      <c r="C9" s="2" t="s">
        <v>29</v>
      </c>
      <c r="D9" s="7" t="s">
        <v>40</v>
      </c>
    </row>
    <row r="10" customFormat="false" ht="15" hidden="false" customHeight="false" outlineLevel="0" collapsed="false">
      <c r="A10" s="3" t="s">
        <v>41</v>
      </c>
      <c r="B10" s="6" t="n">
        <v>0.99</v>
      </c>
      <c r="C10" s="2" t="s">
        <v>29</v>
      </c>
      <c r="D10" s="7" t="s">
        <v>42</v>
      </c>
    </row>
    <row r="11" customFormat="false" ht="15" hidden="false" customHeight="false" outlineLevel="0" collapsed="false">
      <c r="A11" s="3" t="s">
        <v>43</v>
      </c>
      <c r="B11" s="6" t="n">
        <v>0.12</v>
      </c>
      <c r="C11" s="2" t="s">
        <v>44</v>
      </c>
      <c r="D11" s="7" t="s">
        <v>45</v>
      </c>
    </row>
    <row r="12" customFormat="false" ht="15" hidden="false" customHeight="false" outlineLevel="0" collapsed="false">
      <c r="A12" s="3" t="s">
        <v>46</v>
      </c>
      <c r="B12" s="6" t="n">
        <v>6.81</v>
      </c>
      <c r="C12" s="2" t="s">
        <v>44</v>
      </c>
      <c r="D12" s="7" t="s">
        <v>47</v>
      </c>
    </row>
    <row r="13" customFormat="false" ht="15" hidden="false" customHeight="false" outlineLevel="0" collapsed="false">
      <c r="A13" s="3" t="s">
        <v>48</v>
      </c>
      <c r="B13" s="6" t="n">
        <v>0.026</v>
      </c>
      <c r="C13" s="2" t="s">
        <v>44</v>
      </c>
      <c r="D13" s="7" t="s">
        <v>49</v>
      </c>
    </row>
    <row r="14" customFormat="false" ht="15" hidden="false" customHeight="false" outlineLevel="0" collapsed="false">
      <c r="A14" s="3" t="s">
        <v>50</v>
      </c>
      <c r="B14" s="6" t="n">
        <v>5.5</v>
      </c>
      <c r="C14" s="2" t="s">
        <v>29</v>
      </c>
      <c r="D14" s="7" t="s">
        <v>51</v>
      </c>
    </row>
    <row r="15" customFormat="false" ht="15" hidden="false" customHeight="false" outlineLevel="0" collapsed="false">
      <c r="A15" s="3" t="s">
        <v>52</v>
      </c>
      <c r="B15" s="6" t="n">
        <v>0.6</v>
      </c>
      <c r="C15" s="2" t="s">
        <v>29</v>
      </c>
      <c r="D15" s="7" t="s">
        <v>53</v>
      </c>
    </row>
    <row r="16" customFormat="false" ht="15" hidden="false" customHeight="false" outlineLevel="0" collapsed="false">
      <c r="A16" s="3" t="s">
        <v>54</v>
      </c>
      <c r="B16" s="6" t="n">
        <v>1.42</v>
      </c>
      <c r="C16" s="2" t="s">
        <v>55</v>
      </c>
      <c r="D16" s="7" t="s">
        <v>56</v>
      </c>
    </row>
    <row r="17" customFormat="false" ht="15" hidden="false" customHeight="false" outlineLevel="0" collapsed="false">
      <c r="A17" s="3" t="s">
        <v>57</v>
      </c>
      <c r="B17" s="6" t="n">
        <v>2.29</v>
      </c>
      <c r="C17" s="2" t="s">
        <v>55</v>
      </c>
      <c r="D17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4" min="11" style="0" width="12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9" min="17" style="0" width="11"/>
    <col collapsed="false" customWidth="true" hidden="false" outlineLevel="0" max="20" min="20" style="0" width="10"/>
    <col collapsed="false" customWidth="true" hidden="false" outlineLevel="0" max="22" min="21" style="0" width="11"/>
    <col collapsed="false" customWidth="true" hidden="false" outlineLevel="0" max="23" min="23" style="0" width="10"/>
    <col collapsed="false" customWidth="true" hidden="false" outlineLevel="0" max="24" min="24" style="0" width="40"/>
  </cols>
  <sheetData>
    <row r="1" customFormat="false" ht="15" hidden="false" customHeight="false" outlineLevel="0" collapsed="false">
      <c r="A1" s="1" t="s">
        <v>59</v>
      </c>
    </row>
    <row r="3" customFormat="false" ht="23.85" hidden="false" customHeight="false" outlineLevel="0" collapsed="false">
      <c r="A3" s="5" t="s">
        <v>60</v>
      </c>
      <c r="B3" s="5" t="s">
        <v>61</v>
      </c>
      <c r="C3" s="5" t="s">
        <v>62</v>
      </c>
      <c r="D3" s="5" t="s">
        <v>63</v>
      </c>
      <c r="E3" s="5" t="s">
        <v>64</v>
      </c>
      <c r="F3" s="5" t="s">
        <v>65</v>
      </c>
      <c r="G3" s="5" t="s">
        <v>66</v>
      </c>
      <c r="H3" s="5" t="s">
        <v>67</v>
      </c>
      <c r="I3" s="5" t="s">
        <v>68</v>
      </c>
      <c r="J3" s="5" t="s">
        <v>69</v>
      </c>
      <c r="K3" s="5" t="s">
        <v>70</v>
      </c>
      <c r="L3" s="5" t="s">
        <v>71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76</v>
      </c>
      <c r="R3" s="5" t="s">
        <v>77</v>
      </c>
      <c r="S3" s="5" t="s">
        <v>78</v>
      </c>
      <c r="T3" s="5" t="s">
        <v>79</v>
      </c>
      <c r="U3" s="5" t="s">
        <v>80</v>
      </c>
      <c r="V3" s="5" t="s">
        <v>81</v>
      </c>
      <c r="W3" s="5" t="s">
        <v>82</v>
      </c>
      <c r="X3" s="5" t="s">
        <v>17</v>
      </c>
    </row>
    <row r="4" customFormat="false" ht="15" hidden="false" customHeight="false" outlineLevel="0" collapsed="false">
      <c r="A4" s="4" t="n">
        <v>0</v>
      </c>
      <c r="B4" s="4" t="s">
        <v>83</v>
      </c>
      <c r="C4" s="4" t="n">
        <v>75.4</v>
      </c>
      <c r="D4" s="8" t="str">
        <f aca="false">IF(E4="","",100*(1-E4/Q4))</f>
        <v/>
      </c>
      <c r="E4" s="4"/>
      <c r="F4" s="4"/>
      <c r="G4" s="4"/>
      <c r="H4" s="4"/>
      <c r="I4" s="4" t="n">
        <v>1.757</v>
      </c>
      <c r="J4" s="4" t="n">
        <v>20.85</v>
      </c>
      <c r="K4" s="4"/>
      <c r="L4" s="4"/>
      <c r="M4" s="4"/>
      <c r="N4" s="4" t="n">
        <v>167</v>
      </c>
      <c r="O4" s="4"/>
      <c r="P4" s="9" t="n">
        <f aca="false">IF(A4=0,0,(A4/100/rho_BN)/((A4/100/rho_BN)+((1-A4/100)/rho_PI)))</f>
        <v>0</v>
      </c>
      <c r="Q4" s="9" t="n">
        <f aca="false">1/((A4/100/rho_BN)+((1-A4/100)/rho_PI))</f>
        <v>1.42</v>
      </c>
      <c r="R4" s="9" t="n">
        <f aca="false">eps_PI*(1+A_BN_eps*((eps_BN/eps_PI-1)/(eps_BN/eps_PI+A_BN_eps))*P4)/(1-((eps_BN/eps_PI-1)/(eps_BN/eps_PI+A_BN_eps))*(1+((1-phimax_BN_eps)/phimax_BN_eps^2)*P4)*P4)</f>
        <v>3.5</v>
      </c>
      <c r="S4" s="9" t="n">
        <f aca="false">R4*(1+A_pore*((eps_air/R4-1)/(eps_air/R4+A_pore))*(C4/100))/(1-((eps_air/R4-1)/(eps_air/R4+A_pore))*(1+((1-phimax_pore)/phimax_pore^2)*(C4/100))*(C4/100))</f>
        <v>1.24302505457397</v>
      </c>
      <c r="T4" s="8" t="n">
        <f aca="false">100*(S4-I4)/I4</f>
        <v>-29.2529849417207</v>
      </c>
      <c r="U4" s="9" t="n">
        <f aca="false">lam_PI*(1+A_BN_lam*((lam_BN_eff/lam_PI-1)/(lam_BN_eff/lam_PI+A_BN_lam))*P4)/(1-((lam_BN_eff/lam_PI-1)/(lam_BN_eff/lam_PI+A_BN_lam))*(1+((1-phimax_BN_lam)/phimax_BN_lam^2)*P4)*P4)</f>
        <v>0.12</v>
      </c>
      <c r="V4" s="9" t="n">
        <f aca="false">U4*(1+A_pore*((lam_air/U4-1)/(lam_air/U4+A_pore))*(C4/100))/(1-((lam_air/U4-1)/(lam_air/U4+A_pore))*(1+((1-phimax_pore)/phimax_pore^2)*(C4/100))*(C4/100))</f>
        <v>0.0335595987821196</v>
      </c>
      <c r="W4" s="8" t="str">
        <f aca="false">IF(H4="","",100*(V4-H4)/H4)</f>
        <v/>
      </c>
      <c r="X4" s="7"/>
    </row>
    <row r="5" customFormat="false" ht="15" hidden="false" customHeight="false" outlineLevel="0" collapsed="false">
      <c r="A5" s="4" t="n">
        <v>10</v>
      </c>
      <c r="B5" s="4" t="s">
        <v>83</v>
      </c>
      <c r="C5" s="4" t="n">
        <v>91.4</v>
      </c>
      <c r="D5" s="8" t="str">
        <f aca="false">IF(E5="","",100*(1-E5/Q5))</f>
        <v/>
      </c>
      <c r="E5" s="4"/>
      <c r="F5" s="4"/>
      <c r="G5" s="4"/>
      <c r="H5" s="4"/>
      <c r="I5" s="4" t="n">
        <v>1.74</v>
      </c>
      <c r="J5" s="4" t="n">
        <v>14.86</v>
      </c>
      <c r="K5" s="4"/>
      <c r="L5" s="4"/>
      <c r="M5" s="4"/>
      <c r="N5" s="4" t="n">
        <v>184</v>
      </c>
      <c r="O5" s="4"/>
      <c r="P5" s="9" t="n">
        <f aca="false">IF(A5=0,0,(A5/100/rho_BN)/((A5/100/rho_BN)+((1-A5/100)/rho_PI)))</f>
        <v>0.0644575578756242</v>
      </c>
      <c r="Q5" s="9" t="n">
        <f aca="false">1/((A5/100/rho_BN)+((1-A5/100)/rho_PI))</f>
        <v>1.47607807535179</v>
      </c>
      <c r="R5" s="9" t="n">
        <f aca="false">eps_PI*(1+A_BN_eps*((eps_BN/eps_PI-1)/(eps_BN/eps_PI+A_BN_eps))*P5)/(1-((eps_BN/eps_PI-1)/(eps_BN/eps_PI+A_BN_eps))*(1+((1-phimax_BN_eps)/phimax_BN_eps^2)*P5)*P5)</f>
        <v>3.61533347656216</v>
      </c>
      <c r="S5" s="9" t="n">
        <f aca="false">R5*(1+A_pore*((eps_air/R5-1)/(eps_air/R5+A_pore))*(C5/100))/(1-((eps_air/R5-1)/(eps_air/R5+A_pore))*(1+((1-phimax_pore)/phimax_pore^2)*(C5/100))*(C5/100))</f>
        <v>1.07230793337304</v>
      </c>
      <c r="T5" s="8" t="n">
        <f aca="false">100*(S5-I5)/I5</f>
        <v>-38.3731072774117</v>
      </c>
      <c r="U5" s="9" t="n">
        <f aca="false">lam_PI*(1+A_BN_lam*((lam_BN_eff/lam_PI-1)/(lam_BN_eff/lam_PI+A_BN_lam))*P5)/(1-((lam_BN_eff/lam_PI-1)/(lam_BN_eff/lam_PI+A_BN_lam))*(1+((1-phimax_BN_lam)/phimax_BN_lam^2)*P5)*P5)</f>
        <v>0.168525054194957</v>
      </c>
      <c r="V5" s="9" t="n">
        <f aca="false">U5*(1+A_pore*((lam_air/U5-1)/(lam_air/U5+A_pore))*(C5/100))/(1-((lam_air/U5-1)/(lam_air/U5+A_pore))*(1+((1-phimax_pore)/phimax_pore^2)*(C5/100))*(C5/100))</f>
        <v>0.0286458768823543</v>
      </c>
      <c r="W5" s="8" t="str">
        <f aca="false">IF(H5="","",100*(V5-H5)/H5)</f>
        <v/>
      </c>
      <c r="X5" s="7" t="s">
        <v>84</v>
      </c>
    </row>
    <row r="6" customFormat="false" ht="15" hidden="false" customHeight="false" outlineLevel="0" collapsed="false">
      <c r="A6" s="4" t="n">
        <v>30</v>
      </c>
      <c r="B6" s="4" t="s">
        <v>83</v>
      </c>
      <c r="C6" s="4" t="n">
        <v>48.8</v>
      </c>
      <c r="D6" s="8" t="n">
        <f aca="false">IF(E6="","",100*(1-E6/Q6))</f>
        <v>79.8460237406975</v>
      </c>
      <c r="E6" s="4" t="n">
        <v>0.323</v>
      </c>
      <c r="F6" s="4" t="n">
        <v>0.853</v>
      </c>
      <c r="G6" s="4" t="n">
        <v>0.23</v>
      </c>
      <c r="H6" s="4" t="n">
        <v>0.063</v>
      </c>
      <c r="I6" s="4" t="n">
        <v>1.659</v>
      </c>
      <c r="J6" s="4" t="n">
        <v>25.43</v>
      </c>
      <c r="K6" s="4"/>
      <c r="L6" s="4"/>
      <c r="M6" s="4"/>
      <c r="N6" s="4" t="n">
        <v>91.5</v>
      </c>
      <c r="O6" s="4"/>
      <c r="P6" s="9" t="n">
        <f aca="false">IF(A6=0,0,(A6/100/rho_BN)/((A6/100/rho_BN)+((1-A6/100)/rho_PI)))</f>
        <v>0.209955643173977</v>
      </c>
      <c r="Q6" s="9" t="n">
        <f aca="false">1/((A6/100/rho_BN)+((1-A6/100)/rho_PI))</f>
        <v>1.60266140956136</v>
      </c>
      <c r="R6" s="9" t="n">
        <f aca="false">eps_PI*(1+A_BN_eps*((eps_BN/eps_PI-1)/(eps_BN/eps_PI+A_BN_eps))*P6)/(1-((eps_BN/eps_PI-1)/(eps_BN/eps_PI+A_BN_eps))*(1+((1-phimax_BN_eps)/phimax_BN_eps^2)*P6)*P6)</f>
        <v>3.89346685876766</v>
      </c>
      <c r="S6" s="9" t="n">
        <f aca="false">R6*(1+A_pore*((eps_air/R6-1)/(eps_air/R6+A_pore))*(C6/100))/(1-((eps_air/R6-1)/(eps_air/R6+A_pore))*(1+((1-phimax_pore)/phimax_pore^2)*(C6/100))*(C6/100))</f>
        <v>1.70897279786758</v>
      </c>
      <c r="T6" s="8" t="n">
        <f aca="false">100*(S6-I6)/I6</f>
        <v>3.01222410292845</v>
      </c>
      <c r="U6" s="9" t="n">
        <f aca="false">lam_PI*(1+A_BN_lam*((lam_BN_eff/lam_PI-1)/(lam_BN_eff/lam_PI+A_BN_lam))*P6)/(1-((lam_BN_eff/lam_PI-1)/(lam_BN_eff/lam_PI+A_BN_lam))*(1+((1-phimax_BN_lam)/phimax_BN_lam^2)*P6)*P6)</f>
        <v>0.317798095706273</v>
      </c>
      <c r="V6" s="9" t="n">
        <f aca="false">U6*(1+A_pore*((lam_air/U6-1)/(lam_air/U6+A_pore))*(C6/100))/(1-((lam_air/U6-1)/(lam_air/U6+A_pore))*(1+((1-phimax_pore)/phimax_pore^2)*(C6/100))*(C6/100))</f>
        <v>0.0653991047776361</v>
      </c>
      <c r="W6" s="8" t="n">
        <f aca="false">IF(H6="","",100*(V6-H6)/H6)</f>
        <v>3.80810282164462</v>
      </c>
      <c r="X6" s="7"/>
    </row>
    <row r="7" customFormat="false" ht="15" hidden="false" customHeight="false" outlineLevel="0" collapsed="false">
      <c r="A7" s="4" t="n">
        <v>50</v>
      </c>
      <c r="B7" s="4" t="s">
        <v>83</v>
      </c>
      <c r="C7" s="4" t="n">
        <v>58.1</v>
      </c>
      <c r="D7" s="8" t="n">
        <f aca="false">IF(E7="","",100*(1-E7/Q7))</f>
        <v>70.6216556983824</v>
      </c>
      <c r="E7" s="4" t="n">
        <v>0.515</v>
      </c>
      <c r="F7" s="4" t="n">
        <v>0.875</v>
      </c>
      <c r="G7" s="4" t="n">
        <v>0.202</v>
      </c>
      <c r="H7" s="4" t="n">
        <v>0.091</v>
      </c>
      <c r="I7" s="4" t="n">
        <v>1.407</v>
      </c>
      <c r="J7" s="4" t="n">
        <v>12.47</v>
      </c>
      <c r="K7" s="4"/>
      <c r="L7" s="4"/>
      <c r="M7" s="4"/>
      <c r="N7" s="4" t="n">
        <v>84.1</v>
      </c>
      <c r="O7" s="4"/>
      <c r="P7" s="9" t="n">
        <f aca="false">IF(A7=0,0,(A7/100/rho_BN)/((A7/100/rho_BN)+((1-A7/100)/rho_PI)))</f>
        <v>0.382749326145553</v>
      </c>
      <c r="Q7" s="9" t="n">
        <f aca="false">1/((A7/100/rho_BN)+((1-A7/100)/rho_PI))</f>
        <v>1.75299191374663</v>
      </c>
      <c r="R7" s="9" t="n">
        <f aca="false">eps_PI*(1+A_BN_eps*((eps_BN/eps_PI-1)/(eps_BN/eps_PI+A_BN_eps))*P7)/(1-((eps_BN/eps_PI-1)/(eps_BN/eps_PI+A_BN_eps))*(1+((1-phimax_BN_eps)/phimax_BN_eps^2)*P7)*P7)</f>
        <v>4.26010210165309</v>
      </c>
      <c r="S7" s="9" t="n">
        <f aca="false">R7*(1+A_pore*((eps_air/R7-1)/(eps_air/R7+A_pore))*(C7/100))/(1-((eps_air/R7-1)/(eps_air/R7+A_pore))*(1+((1-phimax_pore)/phimax_pore^2)*(C7/100))*(C7/100))</f>
        <v>1.56075331114672</v>
      </c>
      <c r="T7" s="8" t="n">
        <f aca="false">100*(S7-I7)/I7</f>
        <v>10.9277406643011</v>
      </c>
      <c r="U7" s="9" t="n">
        <f aca="false">lam_PI*(1+A_BN_lam*((lam_BN_eff/lam_PI-1)/(lam_BN_eff/lam_PI+A_BN_lam))*P7)/(1-((lam_BN_eff/lam_PI-1)/(lam_BN_eff/lam_PI+A_BN_lam))*(1+((1-phimax_BN_lam)/phimax_BN_lam^2)*P7)*P7)</f>
        <v>0.6769868299631</v>
      </c>
      <c r="V7" s="9" t="n">
        <f aca="false">U7*(1+A_pore*((lam_air/U7-1)/(lam_air/U7+A_pore))*(C7/100))/(1-((lam_air/U7-1)/(lam_air/U7+A_pore))*(1+((1-phimax_pore)/phimax_pore^2)*(C7/100))*(C7/100))</f>
        <v>0.0733403912371946</v>
      </c>
      <c r="W7" s="8" t="n">
        <f aca="false">IF(H7="","",100*(V7-H7)/H7)</f>
        <v>-19.4061634756104</v>
      </c>
      <c r="X7" s="7"/>
    </row>
    <row r="8" customFormat="false" ht="15" hidden="false" customHeight="false" outlineLevel="0" collapsed="false">
      <c r="A8" s="4" t="n">
        <v>70</v>
      </c>
      <c r="B8" s="4" t="s">
        <v>83</v>
      </c>
      <c r="C8" s="4" t="n">
        <v>54.2</v>
      </c>
      <c r="D8" s="8" t="n">
        <f aca="false">IF(E8="","",100*(1-E8/Q8))</f>
        <v>72.8087213235746</v>
      </c>
      <c r="E8" s="4" t="n">
        <v>0.526</v>
      </c>
      <c r="F8" s="4" t="n">
        <v>0.838</v>
      </c>
      <c r="G8" s="4" t="n">
        <v>0.693</v>
      </c>
      <c r="H8" s="4" t="n">
        <v>0.305</v>
      </c>
      <c r="I8" s="4" t="n">
        <v>1.278</v>
      </c>
      <c r="J8" s="4"/>
      <c r="K8" s="4"/>
      <c r="L8" s="4"/>
      <c r="M8" s="4"/>
      <c r="N8" s="4" t="n">
        <v>137</v>
      </c>
      <c r="O8" s="4"/>
      <c r="P8" s="9" t="n">
        <f aca="false">IF(A8=0,0,(A8/100/rho_BN)/((A8/100/rho_BN)+((1-A8/100)/rho_PI)))</f>
        <v>0.591314693634741</v>
      </c>
      <c r="Q8" s="9" t="n">
        <f aca="false">1/((A8/100/rho_BN)+((1-A8/100)/rho_PI))</f>
        <v>1.93444378346223</v>
      </c>
      <c r="R8" s="9" t="n">
        <f aca="false">eps_PI*(1+A_BN_eps*((eps_BN/eps_PI-1)/(eps_BN/eps_PI+A_BN_eps))*P8)/(1-((eps_BN/eps_PI-1)/(eps_BN/eps_PI+A_BN_eps))*(1+((1-phimax_BN_eps)/phimax_BN_eps^2)*P8)*P8)</f>
        <v>4.76560307173661</v>
      </c>
      <c r="S8" s="9" t="n">
        <f aca="false">R8*(1+A_pore*((eps_air/R8-1)/(eps_air/R8+A_pore))*(C8/100))/(1-((eps_air/R8-1)/(eps_air/R8+A_pore))*(1+((1-phimax_pore)/phimax_pore^2)*(C8/100))*(C8/100))</f>
        <v>1.69051512733655</v>
      </c>
      <c r="T8" s="8" t="n">
        <f aca="false">100*(S8-I8)/I8</f>
        <v>32.2781789778211</v>
      </c>
      <c r="U8" s="9" t="n">
        <f aca="false">lam_PI*(1+A_BN_lam*((lam_BN_eff/lam_PI-1)/(lam_BN_eff/lam_PI+A_BN_lam))*P8)/(1-((lam_BN_eff/lam_PI-1)/(lam_BN_eff/lam_PI+A_BN_lam))*(1+((1-phimax_BN_lam)/phimax_BN_lam^2)*P8)*P8)</f>
        <v>3.83303400158108</v>
      </c>
      <c r="V8" s="9" t="n">
        <f aca="false">U8*(1+A_pore*((lam_air/U8-1)/(lam_air/U8+A_pore))*(C8/100))/(1-((lam_air/U8-1)/(lam_air/U8+A_pore))*(1+((1-phimax_pore)/phimax_pore^2)*(C8/100))*(C8/100))</f>
        <v>0.266795243793962</v>
      </c>
      <c r="W8" s="8" t="n">
        <f aca="false">IF(H8="","",100*(V8-H8)/H8)</f>
        <v>-12.5261495757502</v>
      </c>
      <c r="X8" s="7" t="s">
        <v>85</v>
      </c>
    </row>
    <row r="9" customFormat="false" ht="15" hidden="false" customHeight="false" outlineLevel="0" collapsed="false">
      <c r="A9" s="4" t="n">
        <v>0</v>
      </c>
      <c r="B9" s="4" t="s">
        <v>86</v>
      </c>
      <c r="C9" s="4" t="n">
        <v>43.4</v>
      </c>
      <c r="D9" s="8" t="str">
        <f aca="false">IF(E9="","",100*(1-E9/Q9))</f>
        <v/>
      </c>
      <c r="E9" s="4"/>
      <c r="F9" s="4"/>
      <c r="G9" s="4"/>
      <c r="H9" s="4"/>
      <c r="I9" s="4" t="n">
        <v>2.178</v>
      </c>
      <c r="J9" s="4" t="n">
        <v>37.02</v>
      </c>
      <c r="K9" s="4" t="n">
        <v>41.92</v>
      </c>
      <c r="L9" s="4" t="n">
        <v>41.92</v>
      </c>
      <c r="M9" s="4" t="n">
        <v>41.92</v>
      </c>
      <c r="N9" s="4" t="n">
        <v>113</v>
      </c>
      <c r="O9" s="4" t="n">
        <v>-32.3</v>
      </c>
      <c r="P9" s="9" t="n">
        <f aca="false">IF(A9=0,0,(A9/100/rho_BN)/((A9/100/rho_BN)+((1-A9/100)/rho_PI)))</f>
        <v>0</v>
      </c>
      <c r="Q9" s="9" t="n">
        <f aca="false">1/((A9/100/rho_BN)+((1-A9/100)/rho_PI))</f>
        <v>1.42</v>
      </c>
      <c r="R9" s="9" t="n">
        <f aca="false">eps_PI*(1+A_BN_eps*((eps_BN/eps_PI-1)/(eps_BN/eps_PI+A_BN_eps))*P9)/(1-((eps_BN/eps_PI-1)/(eps_BN/eps_PI+A_BN_eps))*(1+((1-phimax_BN_eps)/phimax_BN_eps^2)*P9)*P9)</f>
        <v>3.5</v>
      </c>
      <c r="S9" s="9" t="n">
        <f aca="false">R9*(1+A_pore*((eps_air/R9-1)/(eps_air/R9+A_pore))*(C9/100))/(1-((eps_air/R9-1)/(eps_air/R9+A_pore))*(1+((1-phimax_pore)/phimax_pore^2)*(C9/100))*(C9/100))</f>
        <v>1.76225506484976</v>
      </c>
      <c r="T9" s="8" t="n">
        <f aca="false">100*(S9-I9)/I9</f>
        <v>-19.0883808608925</v>
      </c>
      <c r="U9" s="9" t="n">
        <f aca="false">lam_PI*(1+A_BN_lam*((lam_BN_eff/lam_PI-1)/(lam_BN_eff/lam_PI+A_BN_lam))*P9)/(1-((lam_BN_eff/lam_PI-1)/(lam_BN_eff/lam_PI+A_BN_lam))*(1+((1-phimax_BN_lam)/phimax_BN_lam^2)*P9)*P9)</f>
        <v>0.12</v>
      </c>
      <c r="V9" s="9" t="n">
        <f aca="false">U9*(1+A_pore*((lam_air/U9-1)/(lam_air/U9+A_pore))*(C9/100))/(1-((lam_air/U9-1)/(lam_air/U9+A_pore))*(1+((1-phimax_pore)/phimax_pore^2)*(C9/100))*(C9/100))</f>
        <v>0.0506728672770778</v>
      </c>
      <c r="W9" s="8" t="str">
        <f aca="false">IF(H9="","",100*(V9-H9)/H9)</f>
        <v/>
      </c>
      <c r="X9" s="7" t="s">
        <v>84</v>
      </c>
    </row>
    <row r="10" customFormat="false" ht="15" hidden="false" customHeight="false" outlineLevel="0" collapsed="false">
      <c r="A10" s="4" t="n">
        <v>10</v>
      </c>
      <c r="B10" s="4" t="s">
        <v>86</v>
      </c>
      <c r="C10" s="4" t="n">
        <v>29.8</v>
      </c>
      <c r="D10" s="8" t="n">
        <f aca="false">IF(E10="","",100*(1-E10/Q10))</f>
        <v>40.450304446768</v>
      </c>
      <c r="E10" s="4" t="n">
        <v>0.879</v>
      </c>
      <c r="F10" s="4" t="n">
        <v>0.903</v>
      </c>
      <c r="G10" s="4" t="n">
        <v>0.143</v>
      </c>
      <c r="H10" s="4" t="n">
        <v>0.114</v>
      </c>
      <c r="I10" s="4" t="n">
        <v>1.924</v>
      </c>
      <c r="J10" s="4" t="n">
        <v>17.74</v>
      </c>
      <c r="K10" s="4" t="n">
        <v>24.96</v>
      </c>
      <c r="L10" s="4" t="n">
        <v>9.69</v>
      </c>
      <c r="M10" s="4" t="n">
        <v>39.31</v>
      </c>
      <c r="N10" s="4" t="n">
        <v>134</v>
      </c>
      <c r="O10" s="4" t="n">
        <v>-27.2</v>
      </c>
      <c r="P10" s="9" t="n">
        <f aca="false">IF(A10=0,0,(A10/100/rho_BN)/((A10/100/rho_BN)+((1-A10/100)/rho_PI)))</f>
        <v>0.0644575578756242</v>
      </c>
      <c r="Q10" s="9" t="n">
        <f aca="false">1/((A10/100/rho_BN)+((1-A10/100)/rho_PI))</f>
        <v>1.47607807535179</v>
      </c>
      <c r="R10" s="9" t="n">
        <f aca="false">eps_PI*(1+A_BN_eps*((eps_BN/eps_PI-1)/(eps_BN/eps_PI+A_BN_eps))*P10)/(1-((eps_BN/eps_PI-1)/(eps_BN/eps_PI+A_BN_eps))*(1+((1-phimax_BN_eps)/phimax_BN_eps^2)*P10)*P10)</f>
        <v>3.61533347656216</v>
      </c>
      <c r="S10" s="9" t="n">
        <f aca="false">R10*(1+A_pore*((eps_air/R10-1)/(eps_air/R10+A_pore))*(C10/100))/(1-((eps_air/R10-1)/(eps_air/R10+A_pore))*(1+((1-phimax_pore)/phimax_pore^2)*(C10/100))*(C10/100))</f>
        <v>2.14178819343313</v>
      </c>
      <c r="T10" s="8" t="n">
        <f aca="false">100*(S10-I10)/I10</f>
        <v>11.3195526732398</v>
      </c>
      <c r="U10" s="9" t="n">
        <f aca="false">lam_PI*(1+A_BN_lam*((lam_BN_eff/lam_PI-1)/(lam_BN_eff/lam_PI+A_BN_lam))*P10)/(1-((lam_BN_eff/lam_PI-1)/(lam_BN_eff/lam_PI+A_BN_lam))*(1+((1-phimax_BN_lam)/phimax_BN_lam^2)*P10)*P10)</f>
        <v>0.168525054194957</v>
      </c>
      <c r="V10" s="9" t="n">
        <f aca="false">U10*(1+A_pore*((lam_air/U10-1)/(lam_air/U10+A_pore))*(C10/100))/(1-((lam_air/U10-1)/(lam_air/U10+A_pore))*(1+((1-phimax_pore)/phimax_pore^2)*(C10/100))*(C10/100))</f>
        <v>0.0740841329378641</v>
      </c>
      <c r="W10" s="8" t="n">
        <f aca="false">IF(H10="","",100*(V10-H10)/H10)</f>
        <v>-35.0139184755578</v>
      </c>
      <c r="X10" s="7"/>
    </row>
    <row r="11" customFormat="false" ht="15" hidden="false" customHeight="false" outlineLevel="0" collapsed="false">
      <c r="A11" s="4" t="n">
        <v>30</v>
      </c>
      <c r="B11" s="4" t="s">
        <v>86</v>
      </c>
      <c r="C11" s="4" t="n">
        <v>67.2</v>
      </c>
      <c r="D11" s="8" t="n">
        <f aca="false">IF(E11="","",100*(1-E11/Q11))</f>
        <v>71.6097238452549</v>
      </c>
      <c r="E11" s="4" t="n">
        <v>0.455</v>
      </c>
      <c r="F11" s="4" t="n">
        <v>0.863</v>
      </c>
      <c r="G11" s="4" t="n">
        <v>0.131</v>
      </c>
      <c r="H11" s="4" t="n">
        <v>0.051</v>
      </c>
      <c r="I11" s="4" t="n">
        <v>1.864</v>
      </c>
      <c r="J11" s="4" t="n">
        <v>38.15</v>
      </c>
      <c r="K11" s="4" t="n">
        <v>16.49</v>
      </c>
      <c r="L11" s="4" t="n">
        <v>4</v>
      </c>
      <c r="M11" s="4" t="n">
        <v>33.43</v>
      </c>
      <c r="N11" s="4" t="n">
        <v>57.2</v>
      </c>
      <c r="O11" s="4" t="n">
        <v>-7</v>
      </c>
      <c r="P11" s="9" t="n">
        <f aca="false">IF(A11=0,0,(A11/100/rho_BN)/((A11/100/rho_BN)+((1-A11/100)/rho_PI)))</f>
        <v>0.209955643173977</v>
      </c>
      <c r="Q11" s="9" t="n">
        <f aca="false">1/((A11/100/rho_BN)+((1-A11/100)/rho_PI))</f>
        <v>1.60266140956136</v>
      </c>
      <c r="R11" s="9" t="n">
        <f aca="false">eps_PI*(1+A_BN_eps*((eps_BN/eps_PI-1)/(eps_BN/eps_PI+A_BN_eps))*P11)/(1-((eps_BN/eps_PI-1)/(eps_BN/eps_PI+A_BN_eps))*(1+((1-phimax_BN_eps)/phimax_BN_eps^2)*P11)*P11)</f>
        <v>3.89346685876766</v>
      </c>
      <c r="S11" s="9" t="n">
        <f aca="false">R11*(1+A_pore*((eps_air/R11-1)/(eps_air/R11+A_pore))*(C11/100))/(1-((eps_air/R11-1)/(eps_air/R11+A_pore))*(1+((1-phimax_pore)/phimax_pore^2)*(C11/100))*(C11/100))</f>
        <v>1.37664508368387</v>
      </c>
      <c r="T11" s="8" t="n">
        <f aca="false">100*(S11-I11)/I11</f>
        <v>-26.1456500169596</v>
      </c>
      <c r="U11" s="9" t="n">
        <f aca="false">lam_PI*(1+A_BN_lam*((lam_BN_eff/lam_PI-1)/(lam_BN_eff/lam_PI+A_BN_lam))*P11)/(1-((lam_BN_eff/lam_PI-1)/(lam_BN_eff/lam_PI+A_BN_lam))*(1+((1-phimax_BN_lam)/phimax_BN_lam^2)*P11)*P11)</f>
        <v>0.317798095706273</v>
      </c>
      <c r="V11" s="9" t="n">
        <f aca="false">U11*(1+A_pore*((lam_air/U11-1)/(lam_air/U11+A_pore))*(C11/100))/(1-((lam_air/U11-1)/(lam_air/U11+A_pore))*(1+((1-phimax_pore)/phimax_pore^2)*(C11/100))*(C11/100))</f>
        <v>0.0456370440437962</v>
      </c>
      <c r="W11" s="8" t="n">
        <f aca="false">IF(H11="","",100*(V11-H11)/H11)</f>
        <v>-10.515599914125</v>
      </c>
      <c r="X11" s="7" t="s">
        <v>87</v>
      </c>
    </row>
    <row r="12" customFormat="false" ht="15" hidden="false" customHeight="false" outlineLevel="0" collapsed="false">
      <c r="A12" s="4" t="n">
        <v>50</v>
      </c>
      <c r="B12" s="4" t="s">
        <v>86</v>
      </c>
      <c r="C12" s="4" t="n">
        <v>64.6</v>
      </c>
      <c r="D12" s="8" t="n">
        <f aca="false">IF(E12="","",100*(1-E12/Q12))</f>
        <v>61.3232671135986</v>
      </c>
      <c r="E12" s="4" t="n">
        <v>0.678</v>
      </c>
      <c r="F12" s="4" t="n">
        <v>0.885</v>
      </c>
      <c r="G12" s="4" t="n">
        <v>0.147</v>
      </c>
      <c r="H12" s="4" t="n">
        <v>0.088</v>
      </c>
      <c r="I12" s="4" t="n">
        <v>1.829</v>
      </c>
      <c r="J12" s="4" t="n">
        <v>24.28</v>
      </c>
      <c r="K12" s="4" t="n">
        <v>13.06</v>
      </c>
      <c r="L12" s="4" t="n">
        <v>2.61</v>
      </c>
      <c r="M12" s="4" t="n">
        <v>26.45</v>
      </c>
      <c r="N12" s="4" t="n">
        <v>84.8</v>
      </c>
      <c r="O12" s="4" t="n">
        <v>0.8</v>
      </c>
      <c r="P12" s="9" t="n">
        <f aca="false">IF(A12=0,0,(A12/100/rho_BN)/((A12/100/rho_BN)+((1-A12/100)/rho_PI)))</f>
        <v>0.382749326145553</v>
      </c>
      <c r="Q12" s="9" t="n">
        <f aca="false">1/((A12/100/rho_BN)+((1-A12/100)/rho_PI))</f>
        <v>1.75299191374663</v>
      </c>
      <c r="R12" s="9" t="n">
        <f aca="false">eps_PI*(1+A_BN_eps*((eps_BN/eps_PI-1)/(eps_BN/eps_PI+A_BN_eps))*P12)/(1-((eps_BN/eps_PI-1)/(eps_BN/eps_PI+A_BN_eps))*(1+((1-phimax_BN_eps)/phimax_BN_eps^2)*P12)*P12)</f>
        <v>4.26010210165309</v>
      </c>
      <c r="S12" s="9" t="n">
        <f aca="false">R12*(1+A_pore*((eps_air/R12-1)/(eps_air/R12+A_pore))*(C12/100))/(1-((eps_air/R12-1)/(eps_air/R12+A_pore))*(1+((1-phimax_pore)/phimax_pore^2)*(C12/100))*(C12/100))</f>
        <v>1.44312040424555</v>
      </c>
      <c r="T12" s="8" t="n">
        <f aca="false">100*(S12-I12)/I12</f>
        <v>-21.0978455852623</v>
      </c>
      <c r="U12" s="9" t="n">
        <f aca="false">lam_PI*(1+A_BN_lam*((lam_BN_eff/lam_PI-1)/(lam_BN_eff/lam_PI+A_BN_lam))*P12)/(1-((lam_BN_eff/lam_PI-1)/(lam_BN_eff/lam_PI+A_BN_lam))*(1+((1-phimax_BN_lam)/phimax_BN_lam^2)*P12)*P12)</f>
        <v>0.6769868299631</v>
      </c>
      <c r="V12" s="9" t="n">
        <f aca="false">U12*(1+A_pore*((lam_air/U12-1)/(lam_air/U12+A_pore))*(C12/100))/(1-((lam_air/U12-1)/(lam_air/U12+A_pore))*(1+((1-phimax_pore)/phimax_pore^2)*(C12/100))*(C12/100))</f>
        <v>0.0625475037507886</v>
      </c>
      <c r="W12" s="8" t="n">
        <f aca="false">IF(H12="","",100*(V12-H12)/H12)</f>
        <v>-28.9232911922857</v>
      </c>
      <c r="X12" s="7"/>
    </row>
    <row r="13" customFormat="false" ht="15" hidden="false" customHeight="false" outlineLevel="0" collapsed="false">
      <c r="A13" s="4" t="n">
        <v>70</v>
      </c>
      <c r="B13" s="4" t="s">
        <v>86</v>
      </c>
      <c r="C13" s="4" t="n">
        <v>48.8</v>
      </c>
      <c r="D13" s="8" t="n">
        <f aca="false">IF(E13="","",100*(1-E13/Q13))</f>
        <v>72.1366935235869</v>
      </c>
      <c r="E13" s="4" t="n">
        <v>0.539</v>
      </c>
      <c r="F13" s="4" t="n">
        <v>0.846</v>
      </c>
      <c r="G13" s="4" t="n">
        <v>0.613</v>
      </c>
      <c r="H13" s="4" t="n">
        <v>0.279</v>
      </c>
      <c r="I13" s="4" t="n">
        <v>1.622</v>
      </c>
      <c r="J13" s="4"/>
      <c r="K13" s="4" t="n">
        <v>10.11</v>
      </c>
      <c r="L13" s="4" t="n">
        <v>1.98</v>
      </c>
      <c r="M13" s="4" t="n">
        <v>18.02</v>
      </c>
      <c r="N13" s="4" t="n">
        <v>115</v>
      </c>
      <c r="O13" s="4" t="n">
        <v>-16.1</v>
      </c>
      <c r="P13" s="9" t="n">
        <f aca="false">IF(A13=0,0,(A13/100/rho_BN)/((A13/100/rho_BN)+((1-A13/100)/rho_PI)))</f>
        <v>0.591314693634741</v>
      </c>
      <c r="Q13" s="9" t="n">
        <f aca="false">1/((A13/100/rho_BN)+((1-A13/100)/rho_PI))</f>
        <v>1.93444378346223</v>
      </c>
      <c r="R13" s="9" t="n">
        <f aca="false">eps_PI*(1+A_BN_eps*((eps_BN/eps_PI-1)/(eps_BN/eps_PI+A_BN_eps))*P13)/(1-((eps_BN/eps_PI-1)/(eps_BN/eps_PI+A_BN_eps))*(1+((1-phimax_BN_eps)/phimax_BN_eps^2)*P13)*P13)</f>
        <v>4.76560307173661</v>
      </c>
      <c r="S13" s="9" t="n">
        <f aca="false">R13*(1+A_pore*((eps_air/R13-1)/(eps_air/R13+A_pore))*(C13/100))/(1-((eps_air/R13-1)/(eps_air/R13+A_pore))*(1+((1-phimax_pore)/phimax_pore^2)*(C13/100))*(C13/100))</f>
        <v>1.82214109687353</v>
      </c>
      <c r="T13" s="8" t="n">
        <f aca="false">100*(S13-I13)/I13</f>
        <v>12.3391551709942</v>
      </c>
      <c r="U13" s="9" t="n">
        <f aca="false">lam_PI*(1+A_BN_lam*((lam_BN_eff/lam_PI-1)/(lam_BN_eff/lam_PI+A_BN_lam))*P13)/(1-((lam_BN_eff/lam_PI-1)/(lam_BN_eff/lam_PI+A_BN_lam))*(1+((1-phimax_BN_lam)/phimax_BN_lam^2)*P13)*P13)</f>
        <v>3.83303400158108</v>
      </c>
      <c r="V13" s="9" t="n">
        <f aca="false">U13*(1+A_pore*((lam_air/U13-1)/(lam_air/U13+A_pore))*(C13/100))/(1-((lam_air/U13-1)/(lam_air/U13+A_pore))*(1+((1-phimax_pore)/phimax_pore^2)*(C13/100))*(C13/100))</f>
        <v>0.320649089770243</v>
      </c>
      <c r="W13" s="8" t="n">
        <f aca="false">IF(H13="","",100*(V13-H13)/H13)</f>
        <v>14.9279891649618</v>
      </c>
      <c r="X13" s="7" t="s">
        <v>85</v>
      </c>
    </row>
    <row r="15" customFormat="false" ht="15" hidden="false" customHeight="false" outlineLevel="0" collapsed="false">
      <c r="A15" s="7" t="s">
        <v>88</v>
      </c>
    </row>
    <row r="16" customFormat="false" ht="15" hidden="false" customHeight="false" outlineLevel="0" collapsed="false">
      <c r="A16" s="3" t="s">
        <v>89</v>
      </c>
      <c r="B16" s="3" t="s">
        <v>90</v>
      </c>
      <c r="C16" s="9" t="n">
        <f aca="false">SQRT(SUMPRODUCT((S4:S8-I4:I8)^2)/5)</f>
        <v>0.425743827168184</v>
      </c>
      <c r="D16" s="3" t="s">
        <v>91</v>
      </c>
      <c r="E16" s="9" t="n">
        <f aca="false">SQRT(SUMPRODUCT((S9:S13-I9:I13)^2)/5)</f>
        <v>0.359652577868364</v>
      </c>
      <c r="F16" s="3" t="s">
        <v>92</v>
      </c>
      <c r="G16" s="9" t="n">
        <f aca="false">SQRT(SUMPRODUCT((V6:V8-H6:H8)^2)/3)</f>
        <v>0.0243394116756632</v>
      </c>
      <c r="H16" s="3" t="s">
        <v>93</v>
      </c>
      <c r="I16" s="9" t="n">
        <f aca="false">SQRT(SUMPRODUCT((V10:V13-H10:H13)^2)/4)</f>
        <v>0.0316406146586796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94</v>
      </c>
    </row>
    <row r="3" customFormat="false" ht="23.85" hidden="false" customHeight="false" outlineLevel="0" collapsed="false">
      <c r="A3" s="5" t="s">
        <v>60</v>
      </c>
      <c r="B3" s="5" t="s">
        <v>95</v>
      </c>
      <c r="C3" s="5" t="s">
        <v>96</v>
      </c>
      <c r="D3" s="5" t="s">
        <v>97</v>
      </c>
      <c r="E3" s="5" t="s">
        <v>98</v>
      </c>
      <c r="F3" s="5" t="s">
        <v>99</v>
      </c>
      <c r="G3" s="5" t="s">
        <v>100</v>
      </c>
    </row>
    <row r="4" customFormat="false" ht="15" hidden="false" customHeight="false" outlineLevel="0" collapsed="false">
      <c r="A4" s="4" t="n">
        <v>0</v>
      </c>
      <c r="B4" s="10" t="n">
        <f aca="false">Samples!I4</f>
        <v>1.757</v>
      </c>
      <c r="C4" s="10" t="n">
        <f aca="false">Samples!I9</f>
        <v>2.178</v>
      </c>
      <c r="D4" s="9" t="n">
        <f aca="false">Samples!S4</f>
        <v>1.24302505457397</v>
      </c>
      <c r="E4" s="9" t="n">
        <f aca="false">Samples!S9</f>
        <v>1.76225506484976</v>
      </c>
      <c r="F4" s="11"/>
      <c r="G4" s="9" t="n">
        <f aca="false">eps_air</f>
        <v>1</v>
      </c>
    </row>
    <row r="5" customFormat="false" ht="15" hidden="false" customHeight="false" outlineLevel="0" collapsed="false">
      <c r="A5" s="4" t="n">
        <v>10</v>
      </c>
      <c r="B5" s="10" t="n">
        <f aca="false">Samples!I5</f>
        <v>1.74</v>
      </c>
      <c r="C5" s="10" t="n">
        <f aca="false">Samples!I10</f>
        <v>1.924</v>
      </c>
      <c r="D5" s="9" t="n">
        <f aca="false">Samples!S5</f>
        <v>1.07230793337304</v>
      </c>
      <c r="E5" s="9" t="n">
        <f aca="false">Samples!S10</f>
        <v>2.14178819343313</v>
      </c>
      <c r="F5" s="11"/>
      <c r="G5" s="9" t="n">
        <f aca="false">eps_air</f>
        <v>1</v>
      </c>
    </row>
    <row r="6" customFormat="false" ht="15" hidden="false" customHeight="false" outlineLevel="0" collapsed="false">
      <c r="A6" s="4" t="n">
        <v>30</v>
      </c>
      <c r="B6" s="10" t="n">
        <f aca="false">Samples!I6</f>
        <v>1.659</v>
      </c>
      <c r="C6" s="10" t="n">
        <f aca="false">Samples!I11</f>
        <v>1.864</v>
      </c>
      <c r="D6" s="9" t="n">
        <f aca="false">Samples!S6</f>
        <v>1.70897279786758</v>
      </c>
      <c r="E6" s="9" t="n">
        <f aca="false">Samples!S11</f>
        <v>1.37664508368387</v>
      </c>
      <c r="F6" s="10" t="n">
        <v>1.61</v>
      </c>
      <c r="G6" s="9" t="n">
        <f aca="false">eps_air</f>
        <v>1</v>
      </c>
    </row>
    <row r="7" customFormat="false" ht="15" hidden="false" customHeight="false" outlineLevel="0" collapsed="false">
      <c r="A7" s="4" t="n">
        <v>50</v>
      </c>
      <c r="B7" s="10" t="n">
        <f aca="false">Samples!I7</f>
        <v>1.407</v>
      </c>
      <c r="C7" s="10" t="n">
        <f aca="false">Samples!I12</f>
        <v>1.829</v>
      </c>
      <c r="D7" s="9" t="n">
        <f aca="false">Samples!S7</f>
        <v>1.56075331114672</v>
      </c>
      <c r="E7" s="9" t="n">
        <f aca="false">Samples!S12</f>
        <v>1.44312040424555</v>
      </c>
      <c r="F7" s="11"/>
      <c r="G7" s="9" t="n">
        <f aca="false">eps_air</f>
        <v>1</v>
      </c>
    </row>
    <row r="8" customFormat="false" ht="15" hidden="false" customHeight="false" outlineLevel="0" collapsed="false">
      <c r="A8" s="4" t="n">
        <v>70</v>
      </c>
      <c r="B8" s="10" t="n">
        <f aca="false">Samples!I8</f>
        <v>1.278</v>
      </c>
      <c r="C8" s="10" t="n">
        <f aca="false">Samples!I13</f>
        <v>1.622</v>
      </c>
      <c r="D8" s="9" t="n">
        <f aca="false">Samples!S8</f>
        <v>1.69051512733655</v>
      </c>
      <c r="E8" s="9" t="n">
        <f aca="false">Samples!S13</f>
        <v>1.82214109687353</v>
      </c>
      <c r="F8" s="11"/>
      <c r="G8" s="9" t="n">
        <f aca="false">eps_air</f>
        <v>1</v>
      </c>
    </row>
    <row r="10" customFormat="false" ht="15" hidden="false" customHeight="false" outlineLevel="0" collapsed="false">
      <c r="A10" s="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5" min="4" style="0" width="20"/>
    <col collapsed="false" customWidth="true" hidden="false" outlineLevel="0" max="7" min="6" style="0" width="13"/>
  </cols>
  <sheetData>
    <row r="1" customFormat="false" ht="15" hidden="false" customHeight="false" outlineLevel="0" collapsed="false">
      <c r="A1" s="1" t="s">
        <v>102</v>
      </c>
    </row>
    <row r="3" customFormat="false" ht="23.85" hidden="false" customHeight="false" outlineLevel="0" collapsed="false">
      <c r="A3" s="5" t="s">
        <v>60</v>
      </c>
      <c r="B3" s="5" t="s">
        <v>103</v>
      </c>
      <c r="C3" s="5" t="s">
        <v>104</v>
      </c>
      <c r="D3" s="5" t="s">
        <v>105</v>
      </c>
      <c r="E3" s="5" t="s">
        <v>106</v>
      </c>
      <c r="F3" s="5" t="s">
        <v>107</v>
      </c>
      <c r="G3" s="5" t="s">
        <v>108</v>
      </c>
    </row>
    <row r="4" customFormat="false" ht="15" hidden="false" customHeight="false" outlineLevel="0" collapsed="false">
      <c r="A4" s="4" t="n">
        <v>0</v>
      </c>
      <c r="B4" s="10" t="str">
        <f aca="false">IF(Samples!H4="","",Samples!H4)</f>
        <v/>
      </c>
      <c r="C4" s="10" t="str">
        <f aca="false">IF(Samples!H9="","",Samples!H9)</f>
        <v/>
      </c>
      <c r="D4" s="9" t="n">
        <f aca="false">Samples!V4</f>
        <v>0.0335595987821196</v>
      </c>
      <c r="E4" s="9" t="n">
        <f aca="false">Samples!V9</f>
        <v>0.0506728672770778</v>
      </c>
      <c r="F4" s="2" t="str">
        <f aca="false">IF(B4="","no (fragile)","yes")</f>
        <v>no (fragile)</v>
      </c>
      <c r="G4" s="2" t="str">
        <f aca="false">IF(C4="","no (fragile)","yes")</f>
        <v>no (fragile)</v>
      </c>
    </row>
    <row r="5" customFormat="false" ht="15" hidden="false" customHeight="false" outlineLevel="0" collapsed="false">
      <c r="A5" s="4" t="n">
        <v>10</v>
      </c>
      <c r="B5" s="10" t="str">
        <f aca="false">IF(Samples!H5="","",Samples!H5)</f>
        <v/>
      </c>
      <c r="C5" s="10" t="n">
        <f aca="false">IF(Samples!H10="","",Samples!H10)</f>
        <v>0.114</v>
      </c>
      <c r="D5" s="9" t="n">
        <f aca="false">Samples!V5</f>
        <v>0.0286458768823543</v>
      </c>
      <c r="E5" s="9" t="n">
        <f aca="false">Samples!V10</f>
        <v>0.0740841329378641</v>
      </c>
      <c r="F5" s="2" t="str">
        <f aca="false">IF(B5="","no (fragile)","yes")</f>
        <v>no (fragile)</v>
      </c>
      <c r="G5" s="2" t="str">
        <f aca="false">IF(C5="","no (fragile)","yes")</f>
        <v>yes</v>
      </c>
    </row>
    <row r="6" customFormat="false" ht="15" hidden="false" customHeight="false" outlineLevel="0" collapsed="false">
      <c r="A6" s="4" t="n">
        <v>30</v>
      </c>
      <c r="B6" s="10" t="n">
        <f aca="false">IF(Samples!H6="","",Samples!H6)</f>
        <v>0.063</v>
      </c>
      <c r="C6" s="10" t="n">
        <f aca="false">IF(Samples!H11="","",Samples!H11)</f>
        <v>0.051</v>
      </c>
      <c r="D6" s="9" t="n">
        <f aca="false">Samples!V6</f>
        <v>0.0653991047776361</v>
      </c>
      <c r="E6" s="9" t="n">
        <f aca="false">Samples!V11</f>
        <v>0.0456370440437962</v>
      </c>
      <c r="F6" s="2" t="str">
        <f aca="false">IF(B6="","no (fragile)","yes")</f>
        <v>yes</v>
      </c>
      <c r="G6" s="2" t="str">
        <f aca="false">IF(C6="","no (fragile)","yes")</f>
        <v>yes</v>
      </c>
    </row>
    <row r="7" customFormat="false" ht="15" hidden="false" customHeight="false" outlineLevel="0" collapsed="false">
      <c r="A7" s="4" t="n">
        <v>50</v>
      </c>
      <c r="B7" s="10" t="n">
        <f aca="false">IF(Samples!H7="","",Samples!H7)</f>
        <v>0.091</v>
      </c>
      <c r="C7" s="10" t="n">
        <f aca="false">IF(Samples!H12="","",Samples!H12)</f>
        <v>0.088</v>
      </c>
      <c r="D7" s="9" t="n">
        <f aca="false">Samples!V7</f>
        <v>0.0733403912371946</v>
      </c>
      <c r="E7" s="9" t="n">
        <f aca="false">Samples!V12</f>
        <v>0.0625475037507886</v>
      </c>
      <c r="F7" s="2" t="str">
        <f aca="false">IF(B7="","no (fragile)","yes")</f>
        <v>yes</v>
      </c>
      <c r="G7" s="2" t="str">
        <f aca="false">IF(C7="","no (fragile)","yes")</f>
        <v>yes</v>
      </c>
    </row>
    <row r="8" customFormat="false" ht="15" hidden="false" customHeight="false" outlineLevel="0" collapsed="false">
      <c r="A8" s="4" t="n">
        <v>70</v>
      </c>
      <c r="B8" s="10" t="n">
        <f aca="false">IF(Samples!H8="","",Samples!H8)</f>
        <v>0.305</v>
      </c>
      <c r="C8" s="10" t="n">
        <f aca="false">IF(Samples!H13="","",Samples!H13)</f>
        <v>0.279</v>
      </c>
      <c r="D8" s="9" t="n">
        <f aca="false">Samples!V8</f>
        <v>0.266795243793962</v>
      </c>
      <c r="E8" s="9" t="n">
        <f aca="false">Samples!V13</f>
        <v>0.320649089770243</v>
      </c>
      <c r="F8" s="2" t="str">
        <f aca="false">IF(B8="","no (fragile)","yes")</f>
        <v>yes</v>
      </c>
      <c r="G8" s="2" t="str">
        <f aca="false">IF(C8="","no (fragile)","yes")</f>
        <v>yes</v>
      </c>
    </row>
    <row r="10" customFormat="false" ht="15" hidden="false" customHeight="false" outlineLevel="0" collapsed="false">
      <c r="A10" s="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4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5" t="s">
        <v>60</v>
      </c>
      <c r="B3" s="5" t="s">
        <v>111</v>
      </c>
      <c r="C3" s="5" t="s">
        <v>112</v>
      </c>
      <c r="D3" s="5" t="s">
        <v>113</v>
      </c>
      <c r="E3" s="5" t="s">
        <v>114</v>
      </c>
    </row>
    <row r="4" customFormat="false" ht="15" hidden="false" customHeight="false" outlineLevel="0" collapsed="false">
      <c r="A4" s="4" t="n">
        <v>0</v>
      </c>
      <c r="B4" s="4" t="n">
        <v>79.9</v>
      </c>
      <c r="C4" s="4" t="n">
        <v>76.4</v>
      </c>
      <c r="D4" s="2" t="str">
        <f aca="false">TEXT(ROUND(B4,0),"0")&amp;" C"</f>
        <v>80 C</v>
      </c>
      <c r="E4" s="2" t="str">
        <f aca="false">TEXT(ROUND(C4,0),"0")&amp;" C"</f>
        <v>76 C</v>
      </c>
    </row>
    <row r="5" customFormat="false" ht="15" hidden="false" customHeight="false" outlineLevel="0" collapsed="false">
      <c r="A5" s="4" t="n">
        <v>10</v>
      </c>
      <c r="B5" s="4" t="n">
        <v>144.3</v>
      </c>
      <c r="C5" s="4" t="n">
        <v>154.9</v>
      </c>
      <c r="D5" s="2" t="str">
        <f aca="false">TEXT(ROUND(B5,0),"0")&amp;" C"</f>
        <v>144 C</v>
      </c>
      <c r="E5" s="2" t="str">
        <f aca="false">TEXT(ROUND(C5,0),"0")&amp;" C"</f>
        <v>155 C</v>
      </c>
    </row>
    <row r="6" customFormat="false" ht="15" hidden="false" customHeight="false" outlineLevel="0" collapsed="false">
      <c r="A6" s="4" t="n">
        <v>30</v>
      </c>
      <c r="B6" s="4" t="n">
        <v>169</v>
      </c>
      <c r="C6" s="4" t="n">
        <v>196.1</v>
      </c>
      <c r="D6" s="2" t="str">
        <f aca="false">TEXT(ROUND(B6,0),"0")&amp;" C"</f>
        <v>169 C</v>
      </c>
      <c r="E6" s="2" t="str">
        <f aca="false">TEXT(ROUND(C6,0),"0")&amp;" C"</f>
        <v>196 C</v>
      </c>
    </row>
    <row r="7" customFormat="false" ht="15" hidden="false" customHeight="false" outlineLevel="0" collapsed="false">
      <c r="A7" s="4" t="n">
        <v>50</v>
      </c>
      <c r="B7" s="4" t="n">
        <v>179.8</v>
      </c>
      <c r="C7" s="4" t="n">
        <v>182.7</v>
      </c>
      <c r="D7" s="2" t="str">
        <f aca="false">TEXT(ROUND(B7,0),"0")&amp;" C"</f>
        <v>180 C</v>
      </c>
      <c r="E7" s="2" t="str">
        <f aca="false">TEXT(ROUND(C7,0),"0")&amp;" C"</f>
        <v>183 C</v>
      </c>
    </row>
    <row r="8" customFormat="false" ht="15" hidden="false" customHeight="false" outlineLevel="0" collapsed="false">
      <c r="A8" s="4" t="n">
        <v>70</v>
      </c>
      <c r="B8" s="4" t="n">
        <v>183.8</v>
      </c>
      <c r="C8" s="4" t="n">
        <v>192.2</v>
      </c>
      <c r="D8" s="2" t="str">
        <f aca="false">TEXT(ROUND(B8,0),"0")&amp;" C"</f>
        <v>184 C</v>
      </c>
      <c r="E8" s="2" t="str">
        <f aca="false">TEXT(ROUND(C8,0),"0")&amp;" C"</f>
        <v>192 C</v>
      </c>
    </row>
    <row r="10" customFormat="false" ht="15" hidden="false" customHeight="false" outlineLevel="0" collapsed="false">
      <c r="A10" s="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5" t="s">
        <v>60</v>
      </c>
      <c r="B3" s="5" t="s">
        <v>117</v>
      </c>
      <c r="C3" s="5" t="s">
        <v>118</v>
      </c>
      <c r="D3" s="5" t="s">
        <v>119</v>
      </c>
      <c r="E3" s="5" t="s">
        <v>120</v>
      </c>
    </row>
    <row r="4" customFormat="false" ht="15" hidden="false" customHeight="false" outlineLevel="0" collapsed="false">
      <c r="A4" s="4" t="n">
        <v>0</v>
      </c>
      <c r="B4" s="4" t="n">
        <f aca="false">IF(Samples!J4="","",Samples!J4)</f>
        <v>20.85</v>
      </c>
      <c r="C4" s="4" t="n">
        <f aca="false">IF(Samples!J9="","",Samples!J9)</f>
        <v>37.02</v>
      </c>
      <c r="D4" s="8" t="n">
        <f aca="false">IF(OR(B4="",C4=""),"",100*(C4-B4)/B4)</f>
        <v>77.5539568345324</v>
      </c>
      <c r="E4" s="2" t="str">
        <f aca="false">IF(D4="","not tested (too brittle)","+"&amp;TEXT(D4,"0")&amp;"%")</f>
        <v>+78%</v>
      </c>
    </row>
    <row r="5" customFormat="false" ht="15" hidden="false" customHeight="false" outlineLevel="0" collapsed="false">
      <c r="A5" s="4" t="n">
        <v>10</v>
      </c>
      <c r="B5" s="4" t="n">
        <f aca="false">IF(Samples!J5="","",Samples!J5)</f>
        <v>14.86</v>
      </c>
      <c r="C5" s="4" t="n">
        <f aca="false">IF(Samples!J10="","",Samples!J10)</f>
        <v>17.74</v>
      </c>
      <c r="D5" s="8" t="n">
        <f aca="false">IF(OR(B5="",C5=""),"",100*(C5-B5)/B5)</f>
        <v>19.3808882907133</v>
      </c>
      <c r="E5" s="2" t="str">
        <f aca="false">IF(D5="","not tested (too brittle)","+"&amp;TEXT(D5,"0")&amp;"%")</f>
        <v>+19%</v>
      </c>
    </row>
    <row r="6" customFormat="false" ht="15" hidden="false" customHeight="false" outlineLevel="0" collapsed="false">
      <c r="A6" s="4" t="n">
        <v>30</v>
      </c>
      <c r="B6" s="4" t="n">
        <f aca="false">IF(Samples!J6="","",Samples!J6)</f>
        <v>25.43</v>
      </c>
      <c r="C6" s="4" t="n">
        <f aca="false">IF(Samples!J11="","",Samples!J11)</f>
        <v>38.15</v>
      </c>
      <c r="D6" s="8" t="n">
        <f aca="false">IF(OR(B6="",C6=""),"",100*(C6-B6)/B6)</f>
        <v>50.0196618167519</v>
      </c>
      <c r="E6" s="2" t="str">
        <f aca="false">IF(D6="","not tested (too brittle)","+"&amp;TEXT(D6,"0")&amp;"%")</f>
        <v>+50%</v>
      </c>
    </row>
    <row r="7" customFormat="false" ht="15" hidden="false" customHeight="false" outlineLevel="0" collapsed="false">
      <c r="A7" s="4" t="n">
        <v>50</v>
      </c>
      <c r="B7" s="4" t="n">
        <f aca="false">IF(Samples!J7="","",Samples!J7)</f>
        <v>12.47</v>
      </c>
      <c r="C7" s="4" t="n">
        <f aca="false">IF(Samples!J12="","",Samples!J12)</f>
        <v>24.28</v>
      </c>
      <c r="D7" s="8" t="n">
        <f aca="false">IF(OR(B7="",C7=""),"",100*(C7-B7)/B7)</f>
        <v>94.7072975140337</v>
      </c>
      <c r="E7" s="2" t="str">
        <f aca="false">IF(D7="","not tested (too brittle)","+"&amp;TEXT(D7,"0")&amp;"%")</f>
        <v>+95%</v>
      </c>
    </row>
    <row r="8" customFormat="false" ht="15" hidden="false" customHeight="false" outlineLevel="0" collapsed="false">
      <c r="A8" s="4" t="n">
        <v>70</v>
      </c>
      <c r="B8" s="4" t="str">
        <f aca="false">IF(Samples!J8="","",Samples!J8)</f>
        <v/>
      </c>
      <c r="C8" s="4" t="str">
        <f aca="false">IF(Samples!J13="","",Samples!J13)</f>
        <v/>
      </c>
      <c r="D8" s="8" t="str">
        <f aca="false">IF(OR(B8="",C8=""),"",100*(C8-B8)/B8)</f>
        <v/>
      </c>
      <c r="E8" s="2" t="str">
        <f aca="false">IF(D8="","not tested (too brittle)","+"&amp;TEXT(D8,"0")&amp;"%")</f>
        <v>not tested (too brittle)</v>
      </c>
    </row>
    <row r="10" customFormat="false" ht="15" hidden="false" customHeight="false" outlineLevel="0" collapsed="false">
      <c r="A10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122</v>
      </c>
    </row>
    <row r="3" customFormat="false" ht="15" hidden="false" customHeight="false" outlineLevel="0" collapsed="false">
      <c r="A3" s="5" t="s">
        <v>60</v>
      </c>
      <c r="B3" s="5" t="s">
        <v>123</v>
      </c>
      <c r="C3" s="5" t="s">
        <v>124</v>
      </c>
      <c r="D3" s="5" t="s">
        <v>125</v>
      </c>
      <c r="E3" s="5" t="s">
        <v>126</v>
      </c>
      <c r="F3" s="5" t="s">
        <v>127</v>
      </c>
    </row>
    <row r="4" customFormat="false" ht="15" hidden="false" customHeight="false" outlineLevel="0" collapsed="false">
      <c r="A4" s="4" t="n">
        <v>0</v>
      </c>
      <c r="B4" s="4" t="n">
        <f aca="false">Samples!K9</f>
        <v>41.92</v>
      </c>
      <c r="C4" s="4" t="n">
        <f aca="false">Samples!L9</f>
        <v>41.92</v>
      </c>
      <c r="D4" s="4" t="n">
        <f aca="false">Samples!M9</f>
        <v>41.92</v>
      </c>
      <c r="E4" s="4" t="n">
        <v>3</v>
      </c>
      <c r="F4" s="4" t="n">
        <v>17</v>
      </c>
    </row>
    <row r="5" customFormat="false" ht="15" hidden="false" customHeight="false" outlineLevel="0" collapsed="false">
      <c r="A5" s="4" t="n">
        <v>10</v>
      </c>
      <c r="B5" s="4" t="n">
        <f aca="false">Samples!K10</f>
        <v>24.96</v>
      </c>
      <c r="C5" s="4" t="n">
        <f aca="false">Samples!L10</f>
        <v>9.69</v>
      </c>
      <c r="D5" s="4" t="n">
        <f aca="false">Samples!M10</f>
        <v>39.31</v>
      </c>
      <c r="E5" s="4" t="n">
        <v>3</v>
      </c>
      <c r="F5" s="4" t="n">
        <v>17</v>
      </c>
    </row>
    <row r="6" customFormat="false" ht="15" hidden="false" customHeight="false" outlineLevel="0" collapsed="false">
      <c r="A6" s="4" t="n">
        <v>30</v>
      </c>
      <c r="B6" s="4" t="n">
        <f aca="false">Samples!K11</f>
        <v>16.49</v>
      </c>
      <c r="C6" s="4" t="n">
        <f aca="false">Samples!L11</f>
        <v>4</v>
      </c>
      <c r="D6" s="4" t="n">
        <f aca="false">Samples!M11</f>
        <v>33.43</v>
      </c>
      <c r="E6" s="4" t="n">
        <v>3</v>
      </c>
      <c r="F6" s="4" t="n">
        <v>17</v>
      </c>
    </row>
    <row r="7" customFormat="false" ht="15" hidden="false" customHeight="false" outlineLevel="0" collapsed="false">
      <c r="A7" s="4" t="n">
        <v>50</v>
      </c>
      <c r="B7" s="4" t="n">
        <f aca="false">Samples!K12</f>
        <v>13.06</v>
      </c>
      <c r="C7" s="4" t="n">
        <f aca="false">Samples!L12</f>
        <v>2.61</v>
      </c>
      <c r="D7" s="4" t="n">
        <f aca="false">Samples!M12</f>
        <v>26.45</v>
      </c>
      <c r="E7" s="4" t="n">
        <v>3</v>
      </c>
      <c r="F7" s="4" t="n">
        <v>17</v>
      </c>
    </row>
    <row r="8" customFormat="false" ht="15" hidden="false" customHeight="false" outlineLevel="0" collapsed="false">
      <c r="A8" s="4" t="n">
        <v>70</v>
      </c>
      <c r="B8" s="4" t="n">
        <f aca="false">Samples!K13</f>
        <v>10.11</v>
      </c>
      <c r="C8" s="4" t="n">
        <f aca="false">Samples!L13</f>
        <v>1.98</v>
      </c>
      <c r="D8" s="4" t="n">
        <f aca="false">Samples!M13</f>
        <v>18.02</v>
      </c>
      <c r="E8" s="4" t="n">
        <v>3</v>
      </c>
      <c r="F8" s="4" t="n">
        <v>17</v>
      </c>
    </row>
    <row r="10" customFormat="false" ht="15" hidden="false" customHeight="false" outlineLevel="0" collapsed="false">
      <c r="A10" s="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7" min="2" style="0" width="8"/>
  </cols>
  <sheetData>
    <row r="1" customFormat="false" ht="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7" t="s">
        <v>130</v>
      </c>
    </row>
    <row r="3" customFormat="false" ht="15" hidden="false" customHeight="false" outlineLevel="0" collapsed="false">
      <c r="A3" s="3" t="s">
        <v>131</v>
      </c>
      <c r="B3" s="12" t="n">
        <v>0</v>
      </c>
      <c r="C3" s="12" t="n">
        <v>2</v>
      </c>
      <c r="D3" s="12" t="n">
        <v>4</v>
      </c>
      <c r="E3" s="12" t="n">
        <v>6</v>
      </c>
      <c r="F3" s="12" t="n">
        <v>8</v>
      </c>
      <c r="G3" s="12" t="n">
        <v>10</v>
      </c>
      <c r="H3" s="12" t="n">
        <v>12</v>
      </c>
      <c r="I3" s="12" t="n">
        <v>14</v>
      </c>
      <c r="J3" s="12" t="n">
        <v>16</v>
      </c>
      <c r="K3" s="12" t="n">
        <v>18</v>
      </c>
      <c r="L3" s="12" t="n">
        <v>20</v>
      </c>
      <c r="M3" s="12" t="n">
        <v>22</v>
      </c>
      <c r="N3" s="12" t="n">
        <v>24</v>
      </c>
      <c r="O3" s="12" t="n">
        <v>26</v>
      </c>
      <c r="P3" s="12" t="n">
        <v>28</v>
      </c>
      <c r="Q3" s="12" t="n">
        <v>30</v>
      </c>
      <c r="R3" s="12" t="n">
        <v>32</v>
      </c>
      <c r="S3" s="12" t="n">
        <v>34</v>
      </c>
      <c r="T3" s="12" t="n">
        <v>36</v>
      </c>
      <c r="U3" s="12" t="n">
        <v>38</v>
      </c>
      <c r="V3" s="12" t="n">
        <v>40</v>
      </c>
      <c r="W3" s="12" t="n">
        <v>42</v>
      </c>
      <c r="X3" s="12" t="n">
        <v>44</v>
      </c>
      <c r="Y3" s="12" t="n">
        <v>46</v>
      </c>
      <c r="Z3" s="12" t="n">
        <v>48</v>
      </c>
      <c r="AA3" s="12" t="n">
        <v>50</v>
      </c>
      <c r="AB3" s="12" t="n">
        <v>52</v>
      </c>
      <c r="AC3" s="12" t="n">
        <v>54</v>
      </c>
      <c r="AD3" s="12" t="n">
        <v>56</v>
      </c>
      <c r="AE3" s="12" t="n">
        <v>58</v>
      </c>
      <c r="AF3" s="12" t="n">
        <v>60</v>
      </c>
      <c r="AG3" s="12" t="n">
        <v>62</v>
      </c>
      <c r="AH3" s="12" t="n">
        <v>64</v>
      </c>
      <c r="AI3" s="12" t="n">
        <v>66</v>
      </c>
      <c r="AJ3" s="12" t="n">
        <v>68</v>
      </c>
      <c r="AK3" s="12" t="n">
        <v>70</v>
      </c>
    </row>
    <row r="4" customFormat="false" ht="15" hidden="false" customHeight="false" outlineLevel="0" collapsed="false">
      <c r="A4" s="3" t="s">
        <v>132</v>
      </c>
      <c r="B4" s="13" t="n">
        <f aca="false">IF(B$3=0,0,(B$3/100/rho_BN)/((B$3/100/rho_BN)+((1-B$3/100)/rho_PI)))</f>
        <v>0</v>
      </c>
      <c r="C4" s="13" t="n">
        <f aca="false">IF(C$3=0,0,(C$3/100/rho_BN)/((C$3/100/rho_BN)+((1-C$3/100)/rho_PI)))</f>
        <v>0.0124966998151897</v>
      </c>
      <c r="D4" s="13" t="n">
        <f aca="false">IF(D$3=0,0,(D$3/100/rho_BN)/((D$3/100/rho_BN)+((1-D$3/100)/rho_PI)))</f>
        <v>0.0251862362539908</v>
      </c>
      <c r="E4" s="13" t="n">
        <f aca="false">IF(E$3=0,0,(E$3/100/rho_BN)/((E$3/100/rho_BN)+((1-E$3/100)/rho_PI)))</f>
        <v>0.0380731075163107</v>
      </c>
      <c r="F4" s="13" t="n">
        <f aca="false">IF(F$3=0,0,(F$3/100/rho_BN)/((F$3/100/rho_BN)+((1-F$3/100)/rho_PI)))</f>
        <v>0.0511619528012971</v>
      </c>
      <c r="G4" s="13" t="n">
        <f aca="false">IF(G$3=0,0,(G$3/100/rho_BN)/((G$3/100/rho_BN)+((1-G$3/100)/rho_PI)))</f>
        <v>0.0644575578756242</v>
      </c>
      <c r="H4" s="13" t="n">
        <f aca="false">IF(H$3=0,0,(H$3/100/rho_BN)/((H$3/100/rho_BN)+((1-H$3/100)/rho_PI)))</f>
        <v>0.0779648609077599</v>
      </c>
      <c r="I4" s="13" t="n">
        <f aca="false">IF(I$3=0,0,(I$3/100/rho_BN)/((I$3/100/rho_BN)+((1-I$3/100)/rho_PI)))</f>
        <v>0.0916889585831565</v>
      </c>
      <c r="J4" s="13" t="n">
        <f aca="false">IF(J$3=0,0,(J$3/100/rho_BN)/((J$3/100/rho_BN)+((1-J$3/100)/rho_PI)))</f>
        <v>0.105635112516273</v>
      </c>
      <c r="K4" s="13" t="n">
        <f aca="false">IF(K$3=0,0,(K$3/100/rho_BN)/((K$3/100/rho_BN)+((1-K$3/100)/rho_PI)))</f>
        <v>0.119808755976376</v>
      </c>
      <c r="L4" s="13" t="n">
        <f aca="false">IF(L$3=0,0,(L$3/100/rho_BN)/((L$3/100/rho_BN)+((1-L$3/100)/rho_PI)))</f>
        <v>0.13421550094518</v>
      </c>
      <c r="M4" s="13" t="n">
        <f aca="false">IF(M$3=0,0,(M$3/100/rho_BN)/((M$3/100/rho_BN)+((1-M$3/100)/rho_PI)))</f>
        <v>0.148861145525589</v>
      </c>
      <c r="N4" s="13" t="n">
        <f aca="false">IF(N$3=0,0,(N$3/100/rho_BN)/((N$3/100/rho_BN)+((1-N$3/100)/rho_PI)))</f>
        <v>0.163751681722083</v>
      </c>
      <c r="O4" s="13" t="n">
        <f aca="false">IF(O$3=0,0,(O$3/100/rho_BN)/((O$3/100/rho_BN)+((1-O$3/100)/rho_PI)))</f>
        <v>0.178893303614691</v>
      </c>
      <c r="P4" s="13" t="n">
        <f aca="false">IF(P$3=0,0,(P$3/100/rho_BN)/((P$3/100/rho_BN)+((1-P$3/100)/rho_PI)))</f>
        <v>0.194292415949961</v>
      </c>
      <c r="Q4" s="13" t="n">
        <f aca="false">IF(Q$3=0,0,(Q$3/100/rho_BN)/((Q$3/100/rho_BN)+((1-Q$3/100)/rho_PI)))</f>
        <v>0.209955643173977</v>
      </c>
      <c r="R4" s="13" t="n">
        <f aca="false">IF(R$3=0,0,(R$3/100/rho_BN)/((R$3/100/rho_BN)+((1-R$3/100)/rho_PI)))</f>
        <v>0.225889838934182</v>
      </c>
      <c r="S4" s="13" t="n">
        <f aca="false">IF(S$3=0,0,(S$3/100/rho_BN)/((S$3/100/rho_BN)+((1-S$3/100)/rho_PI)))</f>
        <v>0.242102096078628</v>
      </c>
      <c r="T4" s="13" t="n">
        <f aca="false">IF(T$3=0,0,(T$3/100/rho_BN)/((T$3/100/rho_BN)+((1-T$3/100)/rho_PI)))</f>
        <v>0.258599757183327</v>
      </c>
      <c r="U4" s="13" t="n">
        <f aca="false">IF(U$3=0,0,(U$3/100/rho_BN)/((U$3/100/rho_BN)+((1-U$3/100)/rho_PI)))</f>
        <v>0.275390425640502</v>
      </c>
      <c r="V4" s="13" t="n">
        <f aca="false">IF(V$3=0,0,(V$3/100/rho_BN)/((V$3/100/rho_BN)+((1-V$3/100)/rho_PI)))</f>
        <v>0.292481977342945</v>
      </c>
      <c r="W4" s="13" t="n">
        <f aca="false">IF(W$3=0,0,(W$3/100/rho_BN)/((W$3/100/rho_BN)+((1-W$3/100)/rho_PI)))</f>
        <v>0.309882573002182</v>
      </c>
      <c r="X4" s="13" t="n">
        <f aca="false">IF(X$3=0,0,(X$3/100/rho_BN)/((X$3/100/rho_BN)+((1-X$3/100)/rho_PI)))</f>
        <v>0.32760067114094</v>
      </c>
      <c r="Y4" s="13" t="n">
        <f aca="false">IF(Y$3=0,0,(Y$3/100/rho_BN)/((Y$3/100/rho_BN)+((1-Y$3/100)/rho_PI)))</f>
        <v>0.345645041803365</v>
      </c>
      <c r="Z4" s="13" t="n">
        <f aca="false">IF(Z$3=0,0,(Z$3/100/rho_BN)/((Z$3/100/rho_BN)+((1-Z$3/100)/rho_PI)))</f>
        <v>0.364024781029695</v>
      </c>
      <c r="AA4" s="13" t="n">
        <f aca="false">IF(AA$3=0,0,(AA$3/100/rho_BN)/((AA$3/100/rho_BN)+((1-AA$3/100)/rho_PI)))</f>
        <v>0.382749326145553</v>
      </c>
      <c r="AB4" s="13" t="n">
        <f aca="false">IF(AB$3=0,0,(AB$3/100/rho_BN)/((AB$3/100/rho_BN)+((1-AB$3/100)/rho_PI)))</f>
        <v>0.401828471919896</v>
      </c>
      <c r="AC4" s="13" t="n">
        <f aca="false">IF(AC$3=0,0,(AC$3/100/rho_BN)/((AC$3/100/rho_BN)+((1-AC$3/100)/rho_PI)))</f>
        <v>0.421272387649709</v>
      </c>
      <c r="AD4" s="13" t="n">
        <f aca="false">IF(AD$3=0,0,(AD$3/100/rho_BN)/((AD$3/100/rho_BN)+((1-AD$3/100)/rho_PI)))</f>
        <v>0.44109163523408</v>
      </c>
      <c r="AE4" s="13" t="n">
        <f aca="false">IF(AE$3=0,0,(AE$3/100/rho_BN)/((AE$3/100/rho_BN)+((1-AE$3/100)/rho_PI)))</f>
        <v>0.461297188305142</v>
      </c>
      <c r="AF4" s="13" t="n">
        <f aca="false">IF(AF$3=0,0,(AF$3/100/rho_BN)/((AF$3/100/rho_BN)+((1-AF$3/100)/rho_PI)))</f>
        <v>0.481900452488688</v>
      </c>
      <c r="AG4" s="13" t="n">
        <f aca="false">IF(AG$3=0,0,(AG$3/100/rho_BN)/((AG$3/100/rho_BN)+((1-AG$3/100)/rho_PI)))</f>
        <v>0.502913286873072</v>
      </c>
      <c r="AH4" s="13" t="n">
        <f aca="false">IF(AH$3=0,0,(AH$3/100/rho_BN)/((AH$3/100/rho_BN)+((1-AH$3/100)/rho_PI)))</f>
        <v>0.52434802677129</v>
      </c>
      <c r="AI4" s="13" t="n">
        <f aca="false">IF(AI$3=0,0,(AI$3/100/rho_BN)/((AI$3/100/rho_BN)+((1-AI$3/100)/rho_PI)))</f>
        <v>0.54621750786805</v>
      </c>
      <c r="AJ4" s="13" t="n">
        <f aca="false">IF(AJ$3=0,0,(AJ$3/100/rho_BN)/((AJ$3/100/rho_BN)+((1-AJ$3/100)/rho_PI)))</f>
        <v>0.568535091851154</v>
      </c>
      <c r="AK4" s="13" t="n">
        <f aca="false">IF(AK$3=0,0,(AK$3/100/rho_BN)/((AK$3/100/rho_BN)+((1-AK$3/100)/rho_PI)))</f>
        <v>0.591314693634741</v>
      </c>
    </row>
    <row r="5" customFormat="false" ht="15" hidden="false" customHeight="false" outlineLevel="0" collapsed="false">
      <c r="A5" s="3" t="s">
        <v>133</v>
      </c>
      <c r="B5" s="13" t="n">
        <f aca="false">eps_PI*(1+A_BN_eps*((eps_BN/eps_PI-1)/(eps_BN/eps_PI+A_BN_eps))*B$4)/(1-((eps_BN/eps_PI-1)/(eps_BN/eps_PI+A_BN_eps))*(1+((1-phimax_BN_eps)/phimax_BN_eps^2)*B$4)*B$4)</f>
        <v>3.5</v>
      </c>
      <c r="C5" s="13" t="n">
        <f aca="false">eps_PI*(1+A_BN_eps*((eps_BN/eps_PI-1)/(eps_BN/eps_PI+A_BN_eps))*C$4)/(1-((eps_BN/eps_PI-1)/(eps_BN/eps_PI+A_BN_eps))*(1+((1-phimax_BN_eps)/phimax_BN_eps^2)*C$4)*C$4)</f>
        <v>3.52200513076712</v>
      </c>
      <c r="D5" s="13" t="n">
        <f aca="false">eps_PI*(1+A_BN_eps*((eps_BN/eps_PI-1)/(eps_BN/eps_PI+A_BN_eps))*D$4)/(1-((eps_BN/eps_PI-1)/(eps_BN/eps_PI+A_BN_eps))*(1+((1-phimax_BN_eps)/phimax_BN_eps^2)*D$4)*D$4)</f>
        <v>3.54452248330499</v>
      </c>
      <c r="E5" s="13" t="n">
        <f aca="false">eps_PI*(1+A_BN_eps*((eps_BN/eps_PI-1)/(eps_BN/eps_PI+A_BN_eps))*E$4)/(1-((eps_BN/eps_PI-1)/(eps_BN/eps_PI+A_BN_eps))*(1+((1-phimax_BN_eps)/phimax_BN_eps^2)*E$4)*E$4)</f>
        <v>3.56757017990782</v>
      </c>
      <c r="F5" s="13" t="n">
        <f aca="false">eps_PI*(1+A_BN_eps*((eps_BN/eps_PI-1)/(eps_BN/eps_PI+A_BN_eps))*F$4)/(1-((eps_BN/eps_PI-1)/(eps_BN/eps_PI+A_BN_eps))*(1+((1-phimax_BN_eps)/phimax_BN_eps^2)*F$4)*F$4)</f>
        <v>3.59116720880903</v>
      </c>
      <c r="G5" s="13" t="n">
        <f aca="false">eps_PI*(1+A_BN_eps*((eps_BN/eps_PI-1)/(eps_BN/eps_PI+A_BN_eps))*G$4)/(1-((eps_BN/eps_PI-1)/(eps_BN/eps_PI+A_BN_eps))*(1+((1-phimax_BN_eps)/phimax_BN_eps^2)*G$4)*G$4)</f>
        <v>3.61533347656216</v>
      </c>
      <c r="H5" s="13" t="n">
        <f aca="false">eps_PI*(1+A_BN_eps*((eps_BN/eps_PI-1)/(eps_BN/eps_PI+A_BN_eps))*H$4)/(1-((eps_BN/eps_PI-1)/(eps_BN/eps_PI+A_BN_eps))*(1+((1-phimax_BN_eps)/phimax_BN_eps^2)*H$4)*H$4)</f>
        <v>3.64008986427224</v>
      </c>
      <c r="I5" s="13" t="n">
        <f aca="false">eps_PI*(1+A_BN_eps*((eps_BN/eps_PI-1)/(eps_BN/eps_PI+A_BN_eps))*I$4)/(1-((eps_BN/eps_PI-1)/(eps_BN/eps_PI+A_BN_eps))*(1+((1-phimax_BN_eps)/phimax_BN_eps^2)*I$4)*I$4)</f>
        <v>3.66545828801199</v>
      </c>
      <c r="J5" s="13" t="n">
        <f aca="false">eps_PI*(1+A_BN_eps*((eps_BN/eps_PI-1)/(eps_BN/eps_PI+A_BN_eps))*J$4)/(1-((eps_BN/eps_PI-1)/(eps_BN/eps_PI+A_BN_eps))*(1+((1-phimax_BN_eps)/phimax_BN_eps^2)*J$4)*J$4)</f>
        <v>3.69146176379096</v>
      </c>
      <c r="K5" s="13" t="n">
        <f aca="false">eps_PI*(1+A_BN_eps*((eps_BN/eps_PI-1)/(eps_BN/eps_PI+A_BN_eps))*K$4)/(1-((eps_BN/eps_PI-1)/(eps_BN/eps_PI+A_BN_eps))*(1+((1-phimax_BN_eps)/phimax_BN_eps^2)*K$4)*K$4)</f>
        <v>3.71812447748292</v>
      </c>
      <c r="L5" s="13" t="n">
        <f aca="false">eps_PI*(1+A_BN_eps*((eps_BN/eps_PI-1)/(eps_BN/eps_PI+A_BN_eps))*L$4)/(1-((eps_BN/eps_PI-1)/(eps_BN/eps_PI+A_BN_eps))*(1+((1-phimax_BN_eps)/phimax_BN_eps^2)*L$4)*L$4)</f>
        <v>3.74547186015901</v>
      </c>
      <c r="M5" s="13" t="n">
        <f aca="false">eps_PI*(1+A_BN_eps*((eps_BN/eps_PI-1)/(eps_BN/eps_PI+A_BN_eps))*M$4)/(1-((eps_BN/eps_PI-1)/(eps_BN/eps_PI+A_BN_eps))*(1+((1-phimax_BN_eps)/phimax_BN_eps^2)*M$4)*M$4)</f>
        <v>3.77353066932041</v>
      </c>
      <c r="N5" s="13" t="n">
        <f aca="false">eps_PI*(1+A_BN_eps*((eps_BN/eps_PI-1)/(eps_BN/eps_PI+A_BN_eps))*N$4)/(1-((eps_BN/eps_PI-1)/(eps_BN/eps_PI+A_BN_eps))*(1+((1-phimax_BN_eps)/phimax_BN_eps^2)*N$4)*N$4)</f>
        <v>3.80232907657711</v>
      </c>
      <c r="O5" s="13" t="n">
        <f aca="false">eps_PI*(1+A_BN_eps*((eps_BN/eps_PI-1)/(eps_BN/eps_PI+A_BN_eps))*O$4)/(1-((eps_BN/eps_PI-1)/(eps_BN/eps_PI+A_BN_eps))*(1+((1-phimax_BN_eps)/phimax_BN_eps^2)*O$4)*O$4)</f>
        <v>3.83189676237749</v>
      </c>
      <c r="P5" s="13" t="n">
        <f aca="false">eps_PI*(1+A_BN_eps*((eps_BN/eps_PI-1)/(eps_BN/eps_PI+A_BN_eps))*P$4)/(1-((eps_BN/eps_PI-1)/(eps_BN/eps_PI+A_BN_eps))*(1+((1-phimax_BN_eps)/phimax_BN_eps^2)*P$4)*P$4)</f>
        <v>3.86226501845944</v>
      </c>
      <c r="Q5" s="13" t="n">
        <f aca="false">eps_PI*(1+A_BN_eps*((eps_BN/eps_PI-1)/(eps_BN/eps_PI+A_BN_eps))*Q$4)/(1-((eps_BN/eps_PI-1)/(eps_BN/eps_PI+A_BN_eps))*(1+((1-phimax_BN_eps)/phimax_BN_eps^2)*Q$4)*Q$4)</f>
        <v>3.89346685876766</v>
      </c>
      <c r="R5" s="13" t="n">
        <f aca="false">eps_PI*(1+A_BN_eps*((eps_BN/eps_PI-1)/(eps_BN/eps_PI+A_BN_eps))*R$4)/(1-((eps_BN/eps_PI-1)/(eps_BN/eps_PI+A_BN_eps))*(1+((1-phimax_BN_eps)/phimax_BN_eps^2)*R$4)*R$4)</f>
        <v>3.92553713966488</v>
      </c>
      <c r="S5" s="13" t="n">
        <f aca="false">eps_PI*(1+A_BN_eps*((eps_BN/eps_PI-1)/(eps_BN/eps_PI+A_BN_eps))*S$4)/(1-((eps_BN/eps_PI-1)/(eps_BN/eps_PI+A_BN_eps))*(1+((1-phimax_BN_eps)/phimax_BN_eps^2)*S$4)*S$4)</f>
        <v>3.95851269035868</v>
      </c>
      <c r="T5" s="13" t="n">
        <f aca="false">eps_PI*(1+A_BN_eps*((eps_BN/eps_PI-1)/(eps_BN/eps_PI+A_BN_eps))*T$4)/(1-((eps_BN/eps_PI-1)/(eps_BN/eps_PI+A_BN_eps))*(1+((1-phimax_BN_eps)/phimax_BN_eps^2)*T$4)*T$4)</f>
        <v>3.99243245457161</v>
      </c>
      <c r="U5" s="13" t="n">
        <f aca="false">eps_PI*(1+A_BN_eps*((eps_BN/eps_PI-1)/(eps_BN/eps_PI+A_BN_eps))*U$4)/(1-((eps_BN/eps_PI-1)/(eps_BN/eps_PI+A_BN_eps))*(1+((1-phimax_BN_eps)/phimax_BN_eps^2)*U$4)*U$4)</f>
        <v>4.02733764460195</v>
      </c>
      <c r="V5" s="13" t="n">
        <f aca="false">eps_PI*(1+A_BN_eps*((eps_BN/eps_PI-1)/(eps_BN/eps_PI+A_BN_eps))*V$4)/(1-((eps_BN/eps_PI-1)/(eps_BN/eps_PI+A_BN_eps))*(1+((1-phimax_BN_eps)/phimax_BN_eps^2)*V$4)*V$4)</f>
        <v>4.06327190905857</v>
      </c>
      <c r="W5" s="13" t="n">
        <f aca="false">eps_PI*(1+A_BN_eps*((eps_BN/eps_PI-1)/(eps_BN/eps_PI+A_BN_eps))*W$4)/(1-((eps_BN/eps_PI-1)/(eps_BN/eps_PI+A_BN_eps))*(1+((1-phimax_BN_eps)/phimax_BN_eps^2)*W$4)*W$4)</f>
        <v>4.10028151570742</v>
      </c>
      <c r="X5" s="13" t="n">
        <f aca="false">eps_PI*(1+A_BN_eps*((eps_BN/eps_PI-1)/(eps_BN/eps_PI+A_BN_eps))*X$4)/(1-((eps_BN/eps_PI-1)/(eps_BN/eps_PI+A_BN_eps))*(1+((1-phimax_BN_eps)/phimax_BN_eps^2)*X$4)*X$4)</f>
        <v>4.13841555104257</v>
      </c>
      <c r="Y5" s="13" t="n">
        <f aca="false">eps_PI*(1+A_BN_eps*((eps_BN/eps_PI-1)/(eps_BN/eps_PI+A_BN_eps))*Y$4)/(1-((eps_BN/eps_PI-1)/(eps_BN/eps_PI+A_BN_eps))*(1+((1-phimax_BN_eps)/phimax_BN_eps^2)*Y$4)*Y$4)</f>
        <v>4.17772613839457</v>
      </c>
      <c r="Z5" s="13" t="n">
        <f aca="false">eps_PI*(1+A_BN_eps*((eps_BN/eps_PI-1)/(eps_BN/eps_PI+A_BN_eps))*Z$4)/(1-((eps_BN/eps_PI-1)/(eps_BN/eps_PI+A_BN_eps))*(1+((1-phimax_BN_eps)/phimax_BN_eps^2)*Z$4)*Z$4)</f>
        <v>4.21826867661701</v>
      </c>
      <c r="AA5" s="13" t="n">
        <f aca="false">eps_PI*(1+A_BN_eps*((eps_BN/eps_PI-1)/(eps_BN/eps_PI+A_BN_eps))*AA$4)/(1-((eps_BN/eps_PI-1)/(eps_BN/eps_PI+A_BN_eps))*(1+((1-phimax_BN_eps)/phimax_BN_eps^2)*AA$4)*AA$4)</f>
        <v>4.26010210165309</v>
      </c>
      <c r="AB5" s="13" t="n">
        <f aca="false">eps_PI*(1+A_BN_eps*((eps_BN/eps_PI-1)/(eps_BN/eps_PI+A_BN_eps))*AB$4)/(1-((eps_BN/eps_PI-1)/(eps_BN/eps_PI+A_BN_eps))*(1+((1-phimax_BN_eps)/phimax_BN_eps^2)*AB$4)*AB$4)</f>
        <v>4.303289173583</v>
      </c>
      <c r="AC5" s="13" t="n">
        <f aca="false">eps_PI*(1+A_BN_eps*((eps_BN/eps_PI-1)/(eps_BN/eps_PI+A_BN_eps))*AC$4)/(1-((eps_BN/eps_PI-1)/(eps_BN/eps_PI+A_BN_eps))*(1+((1-phimax_BN_eps)/phimax_BN_eps^2)*AC$4)*AC$4)</f>
        <v>4.34789679209664</v>
      </c>
      <c r="AD5" s="13" t="n">
        <f aca="false">eps_PI*(1+A_BN_eps*((eps_BN/eps_PI-1)/(eps_BN/eps_PI+A_BN_eps))*AD$4)/(1-((eps_BN/eps_PI-1)/(eps_BN/eps_PI+A_BN_eps))*(1+((1-phimax_BN_eps)/phimax_BN_eps^2)*AD$4)*AD$4)</f>
        <v>4.39399634373135</v>
      </c>
      <c r="AE5" s="13" t="n">
        <f aca="false">eps_PI*(1+A_BN_eps*((eps_BN/eps_PI-1)/(eps_BN/eps_PI+A_BN_eps))*AE$4)/(1-((eps_BN/eps_PI-1)/(eps_BN/eps_PI+A_BN_eps))*(1+((1-phimax_BN_eps)/phimax_BN_eps^2)*AE$4)*AE$4)</f>
        <v>4.4416640846706</v>
      </c>
      <c r="AF5" s="13" t="n">
        <f aca="false">eps_PI*(1+A_BN_eps*((eps_BN/eps_PI-1)/(eps_BN/eps_PI+A_BN_eps))*AF$4)/(1-((eps_BN/eps_PI-1)/(eps_BN/eps_PI+A_BN_eps))*(1+((1-phimax_BN_eps)/phimax_BN_eps^2)*AF$4)*AF$4)</f>
        <v>4.4909815634273</v>
      </c>
      <c r="AG5" s="13" t="n">
        <f aca="false">eps_PI*(1+A_BN_eps*((eps_BN/eps_PI-1)/(eps_BN/eps_PI+A_BN_eps))*AG$4)/(1-((eps_BN/eps_PI-1)/(eps_BN/eps_PI+A_BN_eps))*(1+((1-phimax_BN_eps)/phimax_BN_eps^2)*AG$4)*AG$4)</f>
        <v>4.54203608834634</v>
      </c>
      <c r="AH5" s="13" t="n">
        <f aca="false">eps_PI*(1+A_BN_eps*((eps_BN/eps_PI-1)/(eps_BN/eps_PI+A_BN_eps))*AH$4)/(1-((eps_BN/eps_PI-1)/(eps_BN/eps_PI+A_BN_eps))*(1+((1-phimax_BN_eps)/phimax_BN_eps^2)*AH$4)*AH$4)</f>
        <v>4.59492124557192</v>
      </c>
      <c r="AI5" s="13" t="n">
        <f aca="false">eps_PI*(1+A_BN_eps*((eps_BN/eps_PI-1)/(eps_BN/eps_PI+A_BN_eps))*AI$4)/(1-((eps_BN/eps_PI-1)/(eps_BN/eps_PI+A_BN_eps))*(1+((1-phimax_BN_eps)/phimax_BN_eps^2)*AI$4)*AI$4)</f>
        <v>4.64973747395247</v>
      </c>
      <c r="AJ5" s="13" t="n">
        <f aca="false">eps_PI*(1+A_BN_eps*((eps_BN/eps_PI-1)/(eps_BN/eps_PI+A_BN_eps))*AJ$4)/(1-((eps_BN/eps_PI-1)/(eps_BN/eps_PI+A_BN_eps))*(1+((1-phimax_BN_eps)/phimax_BN_eps^2)*AJ$4)*AJ$4)</f>
        <v>4.70659270432301</v>
      </c>
      <c r="AK5" s="13" t="n">
        <f aca="false">eps_PI*(1+A_BN_eps*((eps_BN/eps_PI-1)/(eps_BN/eps_PI+A_BN_eps))*AK$4)/(1-((eps_BN/eps_PI-1)/(eps_BN/eps_PI+A_BN_eps))*(1+((1-phimax_BN_eps)/phimax_BN_eps^2)*AK$4)*AK$4)</f>
        <v>4.76560307173661</v>
      </c>
    </row>
    <row r="6" customFormat="false" ht="15" hidden="false" customHeight="false" outlineLevel="0" collapsed="false">
      <c r="A6" s="3" t="s">
        <v>134</v>
      </c>
      <c r="B6" s="13" t="n">
        <f aca="false">(eps_air/B$5-1)/(eps_air/B$5+A_pore)</f>
        <v>-1.953125</v>
      </c>
      <c r="C6" s="13" t="n">
        <f aca="false">(eps_air/C$5-1)/(eps_air/C$5+A_pore)</f>
        <v>-1.96761041313433</v>
      </c>
      <c r="D6" s="13" t="n">
        <f aca="false">(eps_air/D$5-1)/(eps_air/D$5+A_pore)</f>
        <v>-1.98239187700403</v>
      </c>
      <c r="E6" s="13" t="n">
        <f aca="false">(eps_air/E$5-1)/(eps_air/E$5+A_pore)</f>
        <v>-1.99747857886947</v>
      </c>
      <c r="F6" s="13" t="n">
        <f aca="false">(eps_air/F$5-1)/(eps_air/F$5+A_pore)</f>
        <v>-2.01288009066125</v>
      </c>
      <c r="G6" s="13" t="n">
        <f aca="false">(eps_air/G$5-1)/(eps_air/G$5+A_pore)</f>
        <v>-2.02860638934796</v>
      </c>
      <c r="H6" s="13" t="n">
        <f aca="false">(eps_air/H$5-1)/(eps_air/H$5+A_pore)</f>
        <v>-2.04466787861289</v>
      </c>
      <c r="I6" s="13" t="n">
        <f aca="false">(eps_air/I$5-1)/(eps_air/I$5+A_pore)</f>
        <v>-2.06107541193917</v>
      </c>
      <c r="J6" s="13" t="n">
        <f aca="false">(eps_air/J$5-1)/(eps_air/J$5+A_pore)</f>
        <v>-2.07784031721111</v>
      </c>
      <c r="K6" s="13" t="n">
        <f aca="false">(eps_air/K$5-1)/(eps_air/K$5+A_pore)</f>
        <v>-2.09497442294941</v>
      </c>
      <c r="L6" s="13" t="n">
        <f aca="false">(eps_air/L$5-1)/(eps_air/L$5+A_pore)</f>
        <v>-2.11249008630838</v>
      </c>
      <c r="M6" s="13" t="n">
        <f aca="false">(eps_air/M$5-1)/(eps_air/M$5+A_pore)</f>
        <v>-2.13040022297465</v>
      </c>
      <c r="N6" s="13" t="n">
        <f aca="false">(eps_air/N$5-1)/(eps_air/N$5+A_pore)</f>
        <v>-2.14871833912021</v>
      </c>
      <c r="O6" s="13" t="n">
        <f aca="false">(eps_air/O$5-1)/(eps_air/O$5+A_pore)</f>
        <v>-2.16745856557603</v>
      </c>
      <c r="P6" s="13" t="n">
        <f aca="false">(eps_air/P$5-1)/(eps_air/P$5+A_pore)</f>
        <v>-2.18663569440899</v>
      </c>
      <c r="Q6" s="13" t="n">
        <f aca="false">(eps_air/Q$5-1)/(eps_air/Q$5+A_pore)</f>
        <v>-2.20626521810132</v>
      </c>
      <c r="R6" s="13" t="n">
        <f aca="false">(eps_air/R$5-1)/(eps_air/R$5+A_pore)</f>
        <v>-2.22636337155164</v>
      </c>
      <c r="S6" s="13" t="n">
        <f aca="false">(eps_air/S$5-1)/(eps_air/S$5+A_pore)</f>
        <v>-2.24694717713752</v>
      </c>
      <c r="T6" s="13" t="n">
        <f aca="false">(eps_air/T$5-1)/(eps_air/T$5+A_pore)</f>
        <v>-2.26803449310333</v>
      </c>
      <c r="U6" s="13" t="n">
        <f aca="false">(eps_air/U$5-1)/(eps_air/U$5+A_pore)</f>
        <v>-2.28964406556334</v>
      </c>
      <c r="V6" s="13" t="n">
        <f aca="false">(eps_air/V$5-1)/(eps_air/V$5+A_pore)</f>
        <v>-2.31179558443948</v>
      </c>
      <c r="W6" s="13" t="n">
        <f aca="false">(eps_air/W$5-1)/(eps_air/W$5+A_pore)</f>
        <v>-2.33450974368559</v>
      </c>
      <c r="X6" s="13" t="n">
        <f aca="false">(eps_air/X$5-1)/(eps_air/X$5+A_pore)</f>
        <v>-2.35780830618658</v>
      </c>
      <c r="Y6" s="13" t="n">
        <f aca="false">(eps_air/Y$5-1)/(eps_air/Y$5+A_pore)</f>
        <v>-2.38171417376181</v>
      </c>
      <c r="Z6" s="13" t="n">
        <f aca="false">(eps_air/Z$5-1)/(eps_air/Z$5+A_pore)</f>
        <v>-2.40625146274734</v>
      </c>
      <c r="AA6" s="13" t="n">
        <f aca="false">(eps_air/AA$5-1)/(eps_air/AA$5+A_pore)</f>
        <v>-2.43144558568317</v>
      </c>
      <c r="AB6" s="13" t="n">
        <f aca="false">(eps_air/AB$5-1)/(eps_air/AB$5+A_pore)</f>
        <v>-2.45732333968891</v>
      </c>
      <c r="AC6" s="13" t="n">
        <f aca="false">(eps_air/AC$5-1)/(eps_air/AC$5+A_pore)</f>
        <v>-2.48391300217599</v>
      </c>
      <c r="AD6" s="13" t="n">
        <f aca="false">(eps_air/AD$5-1)/(eps_air/AD$5+A_pore)</f>
        <v>-2.51124443461739</v>
      </c>
      <c r="AE6" s="13" t="n">
        <f aca="false">(eps_air/AE$5-1)/(eps_air/AE$5+A_pore)</f>
        <v>-2.53934919517789</v>
      </c>
      <c r="AF6" s="13" t="n">
        <f aca="false">(eps_air/AF$5-1)/(eps_air/AF$5+A_pore)</f>
        <v>-2.56826066110092</v>
      </c>
      <c r="AG6" s="13" t="n">
        <f aca="false">(eps_air/AG$5-1)/(eps_air/AG$5+A_pore)</f>
        <v>-2.59801416185274</v>
      </c>
      <c r="AH6" s="13" t="n">
        <f aca="false">(eps_air/AH$5-1)/(eps_air/AH$5+A_pore)</f>
        <v>-2.62864712414448</v>
      </c>
      <c r="AI6" s="13" t="n">
        <f aca="false">(eps_air/AI$5-1)/(eps_air/AI$5+A_pore)</f>
        <v>-2.6601992300872</v>
      </c>
      <c r="AJ6" s="13" t="n">
        <f aca="false">(eps_air/AJ$5-1)/(eps_air/AJ$5+A_pore)</f>
        <v>-2.69271258988986</v>
      </c>
      <c r="AK6" s="13" t="n">
        <f aca="false">(eps_air/AK$5-1)/(eps_air/AK$5+A_pore)</f>
        <v>-2.72623193068536</v>
      </c>
    </row>
    <row r="8" customFormat="false" ht="15" hidden="false" customHeight="false" outlineLevel="0" collapsed="false">
      <c r="A8" s="14" t="s">
        <v>135</v>
      </c>
      <c r="B8" s="14" t="n">
        <f aca="false">B$3</f>
        <v>0</v>
      </c>
      <c r="C8" s="14" t="n">
        <f aca="false">C$3</f>
        <v>2</v>
      </c>
      <c r="D8" s="14" t="n">
        <f aca="false">D$3</f>
        <v>4</v>
      </c>
      <c r="E8" s="14" t="n">
        <f aca="false">E$3</f>
        <v>6</v>
      </c>
      <c r="F8" s="14" t="n">
        <f aca="false">F$3</f>
        <v>8</v>
      </c>
      <c r="G8" s="14" t="n">
        <f aca="false">G$3</f>
        <v>10</v>
      </c>
      <c r="H8" s="14" t="n">
        <f aca="false">H$3</f>
        <v>12</v>
      </c>
      <c r="I8" s="14" t="n">
        <f aca="false">I$3</f>
        <v>14</v>
      </c>
      <c r="J8" s="14" t="n">
        <f aca="false">J$3</f>
        <v>16</v>
      </c>
      <c r="K8" s="14" t="n">
        <f aca="false">K$3</f>
        <v>18</v>
      </c>
      <c r="L8" s="14" t="n">
        <f aca="false">L$3</f>
        <v>20</v>
      </c>
      <c r="M8" s="14" t="n">
        <f aca="false">M$3</f>
        <v>22</v>
      </c>
      <c r="N8" s="14" t="n">
        <f aca="false">N$3</f>
        <v>24</v>
      </c>
      <c r="O8" s="14" t="n">
        <f aca="false">O$3</f>
        <v>26</v>
      </c>
      <c r="P8" s="14" t="n">
        <f aca="false">P$3</f>
        <v>28</v>
      </c>
      <c r="Q8" s="14" t="n">
        <f aca="false">Q$3</f>
        <v>30</v>
      </c>
      <c r="R8" s="14" t="n">
        <f aca="false">R$3</f>
        <v>32</v>
      </c>
      <c r="S8" s="14" t="n">
        <f aca="false">S$3</f>
        <v>34</v>
      </c>
      <c r="T8" s="14" t="n">
        <f aca="false">T$3</f>
        <v>36</v>
      </c>
      <c r="U8" s="14" t="n">
        <f aca="false">U$3</f>
        <v>38</v>
      </c>
      <c r="V8" s="14" t="n">
        <f aca="false">V$3</f>
        <v>40</v>
      </c>
      <c r="W8" s="14" t="n">
        <f aca="false">W$3</f>
        <v>42</v>
      </c>
      <c r="X8" s="14" t="n">
        <f aca="false">X$3</f>
        <v>44</v>
      </c>
      <c r="Y8" s="14" t="n">
        <f aca="false">Y$3</f>
        <v>46</v>
      </c>
      <c r="Z8" s="14" t="n">
        <f aca="false">Z$3</f>
        <v>48</v>
      </c>
      <c r="AA8" s="14" t="n">
        <f aca="false">AA$3</f>
        <v>50</v>
      </c>
      <c r="AB8" s="14" t="n">
        <f aca="false">AB$3</f>
        <v>52</v>
      </c>
      <c r="AC8" s="14" t="n">
        <f aca="false">AC$3</f>
        <v>54</v>
      </c>
      <c r="AD8" s="14" t="n">
        <f aca="false">AD$3</f>
        <v>56</v>
      </c>
      <c r="AE8" s="14" t="n">
        <f aca="false">AE$3</f>
        <v>58</v>
      </c>
      <c r="AF8" s="14" t="n">
        <f aca="false">AF$3</f>
        <v>60</v>
      </c>
      <c r="AG8" s="14" t="n">
        <f aca="false">AG$3</f>
        <v>62</v>
      </c>
      <c r="AH8" s="14" t="n">
        <f aca="false">AH$3</f>
        <v>64</v>
      </c>
      <c r="AI8" s="14" t="n">
        <f aca="false">AI$3</f>
        <v>66</v>
      </c>
      <c r="AJ8" s="14" t="n">
        <f aca="false">AJ$3</f>
        <v>68</v>
      </c>
      <c r="AK8" s="14" t="n">
        <f aca="false">AK$3</f>
        <v>70</v>
      </c>
      <c r="AN8" s="3" t="s">
        <v>136</v>
      </c>
    </row>
    <row r="9" customFormat="false" ht="23.85" hidden="false" customHeight="false" outlineLevel="0" collapsed="false">
      <c r="A9" s="4" t="n">
        <v>0</v>
      </c>
      <c r="B9" s="9" t="n">
        <f aca="false">B$5*(1+A_pore*B$6*($A9/100))/(1-B$6*(1+((1-phimax_pore)/phimax_pore^2)*($A9/100))*($A9/100))</f>
        <v>3.5</v>
      </c>
      <c r="C9" s="9" t="n">
        <f aca="false">C$5*(1+A_pore*C$6*($A9/100))/(1-C$6*(1+((1-phimax_pore)/phimax_pore^2)*($A9/100))*($A9/100))</f>
        <v>3.52200513076712</v>
      </c>
      <c r="D9" s="9" t="n">
        <f aca="false">D$5*(1+A_pore*D$6*($A9/100))/(1-D$6*(1+((1-phimax_pore)/phimax_pore^2)*($A9/100))*($A9/100))</f>
        <v>3.54452248330499</v>
      </c>
      <c r="E9" s="9" t="n">
        <f aca="false">E$5*(1+A_pore*E$6*($A9/100))/(1-E$6*(1+((1-phimax_pore)/phimax_pore^2)*($A9/100))*($A9/100))</f>
        <v>3.56757017990782</v>
      </c>
      <c r="F9" s="9" t="n">
        <f aca="false">F$5*(1+A_pore*F$6*($A9/100))/(1-F$6*(1+((1-phimax_pore)/phimax_pore^2)*($A9/100))*($A9/100))</f>
        <v>3.59116720880903</v>
      </c>
      <c r="G9" s="9" t="n">
        <f aca="false">G$5*(1+A_pore*G$6*($A9/100))/(1-G$6*(1+((1-phimax_pore)/phimax_pore^2)*($A9/100))*($A9/100))</f>
        <v>3.61533347656216</v>
      </c>
      <c r="H9" s="9" t="n">
        <f aca="false">H$5*(1+A_pore*H$6*($A9/100))/(1-H$6*(1+((1-phimax_pore)/phimax_pore^2)*($A9/100))*($A9/100))</f>
        <v>3.64008986427224</v>
      </c>
      <c r="I9" s="9" t="n">
        <f aca="false">I$5*(1+A_pore*I$6*($A9/100))/(1-I$6*(1+((1-phimax_pore)/phimax_pore^2)*($A9/100))*($A9/100))</f>
        <v>3.66545828801199</v>
      </c>
      <c r="J9" s="9" t="n">
        <f aca="false">J$5*(1+A_pore*J$6*($A9/100))/(1-J$6*(1+((1-phimax_pore)/phimax_pore^2)*($A9/100))*($A9/100))</f>
        <v>3.69146176379096</v>
      </c>
      <c r="K9" s="9" t="n">
        <f aca="false">K$5*(1+A_pore*K$6*($A9/100))/(1-K$6*(1+((1-phimax_pore)/phimax_pore^2)*($A9/100))*($A9/100))</f>
        <v>3.71812447748292</v>
      </c>
      <c r="L9" s="9" t="n">
        <f aca="false">L$5*(1+A_pore*L$6*($A9/100))/(1-L$6*(1+((1-phimax_pore)/phimax_pore^2)*($A9/100))*($A9/100))</f>
        <v>3.74547186015901</v>
      </c>
      <c r="M9" s="9" t="n">
        <f aca="false">M$5*(1+A_pore*M$6*($A9/100))/(1-M$6*(1+((1-phimax_pore)/phimax_pore^2)*($A9/100))*($A9/100))</f>
        <v>3.77353066932041</v>
      </c>
      <c r="N9" s="9" t="n">
        <f aca="false">N$5*(1+A_pore*N$6*($A9/100))/(1-N$6*(1+((1-phimax_pore)/phimax_pore^2)*($A9/100))*($A9/100))</f>
        <v>3.80232907657711</v>
      </c>
      <c r="O9" s="9" t="n">
        <f aca="false">O$5*(1+A_pore*O$6*($A9/100))/(1-O$6*(1+((1-phimax_pore)/phimax_pore^2)*($A9/100))*($A9/100))</f>
        <v>3.83189676237749</v>
      </c>
      <c r="P9" s="9" t="n">
        <f aca="false">P$5*(1+A_pore*P$6*($A9/100))/(1-P$6*(1+((1-phimax_pore)/phimax_pore^2)*($A9/100))*($A9/100))</f>
        <v>3.86226501845944</v>
      </c>
      <c r="Q9" s="9" t="n">
        <f aca="false">Q$5*(1+A_pore*Q$6*($A9/100))/(1-Q$6*(1+((1-phimax_pore)/phimax_pore^2)*($A9/100))*($A9/100))</f>
        <v>3.89346685876766</v>
      </c>
      <c r="R9" s="9" t="n">
        <f aca="false">R$5*(1+A_pore*R$6*($A9/100))/(1-R$6*(1+((1-phimax_pore)/phimax_pore^2)*($A9/100))*($A9/100))</f>
        <v>3.92553713966488</v>
      </c>
      <c r="S9" s="9" t="n">
        <f aca="false">S$5*(1+A_pore*S$6*($A9/100))/(1-S$6*(1+((1-phimax_pore)/phimax_pore^2)*($A9/100))*($A9/100))</f>
        <v>3.95851269035868</v>
      </c>
      <c r="T9" s="9" t="n">
        <f aca="false">T$5*(1+A_pore*T$6*($A9/100))/(1-T$6*(1+((1-phimax_pore)/phimax_pore^2)*($A9/100))*($A9/100))</f>
        <v>3.99243245457161</v>
      </c>
      <c r="U9" s="9" t="n">
        <f aca="false">U$5*(1+A_pore*U$6*($A9/100))/(1-U$6*(1+((1-phimax_pore)/phimax_pore^2)*($A9/100))*($A9/100))</f>
        <v>4.02733764460195</v>
      </c>
      <c r="V9" s="9" t="n">
        <f aca="false">V$5*(1+A_pore*V$6*($A9/100))/(1-V$6*(1+((1-phimax_pore)/phimax_pore^2)*($A9/100))*($A9/100))</f>
        <v>4.06327190905857</v>
      </c>
      <c r="W9" s="9" t="n">
        <f aca="false">W$5*(1+A_pore*W$6*($A9/100))/(1-W$6*(1+((1-phimax_pore)/phimax_pore^2)*($A9/100))*($A9/100))</f>
        <v>4.10028151570742</v>
      </c>
      <c r="X9" s="9" t="n">
        <f aca="false">X$5*(1+A_pore*X$6*($A9/100))/(1-X$6*(1+((1-phimax_pore)/phimax_pore^2)*($A9/100))*($A9/100))</f>
        <v>4.13841555104257</v>
      </c>
      <c r="Y9" s="9" t="n">
        <f aca="false">Y$5*(1+A_pore*Y$6*($A9/100))/(1-Y$6*(1+((1-phimax_pore)/phimax_pore^2)*($A9/100))*($A9/100))</f>
        <v>4.17772613839457</v>
      </c>
      <c r="Z9" s="9" t="n">
        <f aca="false">Z$5*(1+A_pore*Z$6*($A9/100))/(1-Z$6*(1+((1-phimax_pore)/phimax_pore^2)*($A9/100))*($A9/100))</f>
        <v>4.21826867661701</v>
      </c>
      <c r="AA9" s="9" t="n">
        <f aca="false">AA$5*(1+A_pore*AA$6*($A9/100))/(1-AA$6*(1+((1-phimax_pore)/phimax_pore^2)*($A9/100))*($A9/100))</f>
        <v>4.26010210165309</v>
      </c>
      <c r="AB9" s="9" t="n">
        <f aca="false">AB$5*(1+A_pore*AB$6*($A9/100))/(1-AB$6*(1+((1-phimax_pore)/phimax_pore^2)*($A9/100))*($A9/100))</f>
        <v>4.303289173583</v>
      </c>
      <c r="AC9" s="9" t="n">
        <f aca="false">AC$5*(1+A_pore*AC$6*($A9/100))/(1-AC$6*(1+((1-phimax_pore)/phimax_pore^2)*($A9/100))*($A9/100))</f>
        <v>4.34789679209664</v>
      </c>
      <c r="AD9" s="9" t="n">
        <f aca="false">AD$5*(1+A_pore*AD$6*($A9/100))/(1-AD$6*(1+((1-phimax_pore)/phimax_pore^2)*($A9/100))*($A9/100))</f>
        <v>4.39399634373135</v>
      </c>
      <c r="AE9" s="9" t="n">
        <f aca="false">AE$5*(1+A_pore*AE$6*($A9/100))/(1-AE$6*(1+((1-phimax_pore)/phimax_pore^2)*($A9/100))*($A9/100))</f>
        <v>4.4416640846706</v>
      </c>
      <c r="AF9" s="9" t="n">
        <f aca="false">AF$5*(1+A_pore*AF$6*($A9/100))/(1-AF$6*(1+((1-phimax_pore)/phimax_pore^2)*($A9/100))*($A9/100))</f>
        <v>4.4909815634273</v>
      </c>
      <c r="AG9" s="9" t="n">
        <f aca="false">AG$5*(1+A_pore*AG$6*($A9/100))/(1-AG$6*(1+((1-phimax_pore)/phimax_pore^2)*($A9/100))*($A9/100))</f>
        <v>4.54203608834634</v>
      </c>
      <c r="AH9" s="9" t="n">
        <f aca="false">AH$5*(1+A_pore*AH$6*($A9/100))/(1-AH$6*(1+((1-phimax_pore)/phimax_pore^2)*($A9/100))*($A9/100))</f>
        <v>4.59492124557192</v>
      </c>
      <c r="AI9" s="9" t="n">
        <f aca="false">AI$5*(1+A_pore*AI$6*($A9/100))/(1-AI$6*(1+((1-phimax_pore)/phimax_pore^2)*($A9/100))*($A9/100))</f>
        <v>4.64973747395247</v>
      </c>
      <c r="AJ9" s="9" t="n">
        <f aca="false">AJ$5*(1+A_pore*AJ$6*($A9/100))/(1-AJ$6*(1+((1-phimax_pore)/phimax_pore^2)*($A9/100))*($A9/100))</f>
        <v>4.70659270432301</v>
      </c>
      <c r="AK9" s="9" t="n">
        <f aca="false">AK$5*(1+A_pore*AK$6*($A9/100))/(1-AK$6*(1+((1-phimax_pore)/phimax_pore^2)*($A9/100))*($A9/100))</f>
        <v>4.76560307173661</v>
      </c>
      <c r="AN9" s="5" t="s">
        <v>60</v>
      </c>
      <c r="AO9" s="5" t="s">
        <v>137</v>
      </c>
      <c r="AP9" s="5" t="s">
        <v>138</v>
      </c>
      <c r="AQ9" s="5" t="s">
        <v>139</v>
      </c>
      <c r="AR9" s="5" t="s">
        <v>140</v>
      </c>
    </row>
    <row r="10" customFormat="false" ht="15" hidden="false" customHeight="false" outlineLevel="0" collapsed="false">
      <c r="A10" s="4" t="n">
        <v>1</v>
      </c>
      <c r="B10" s="9" t="n">
        <f aca="false">B$5*(1+A_pore*B$6*($A10/100))/(1-B$6*(1+((1-phimax_pore)/phimax_pore^2)*($A10/100))*($A10/100))</f>
        <v>3.42757950733093</v>
      </c>
      <c r="C10" s="9" t="n">
        <f aca="false">C$5*(1+A_pore*C$6*($A10/100))/(1-C$6*(1+((1-phimax_pore)/phimax_pore^2)*($A10/100))*($A10/100))</f>
        <v>3.44859926212892</v>
      </c>
      <c r="D10" s="9" t="n">
        <f aca="false">D$5*(1+A_pore*D$6*($A10/100))/(1-D$6*(1+((1-phimax_pore)/phimax_pore^2)*($A10/100))*($A10/100))</f>
        <v>3.47010311616554</v>
      </c>
      <c r="E10" s="9" t="n">
        <f aca="false">E$5*(1+A_pore*E$6*($A10/100))/(1-E$6*(1+((1-phimax_pore)/phimax_pore^2)*($A10/100))*($A10/100))</f>
        <v>3.49210803686989</v>
      </c>
      <c r="F10" s="9" t="n">
        <f aca="false">F$5*(1+A_pore*F$6*($A10/100))/(1-F$6*(1+((1-phimax_pore)/phimax_pore^2)*($A10/100))*($A10/100))</f>
        <v>3.51463179577629</v>
      </c>
      <c r="G10" s="9" t="n">
        <f aca="false">G$5*(1+A_pore*G$6*($A10/100))/(1-G$6*(1+((1-phimax_pore)/phimax_pore^2)*($A10/100))*($A10/100))</f>
        <v>3.53769301681496</v>
      </c>
      <c r="H10" s="9" t="n">
        <f aca="false">H$5*(1+A_pore*H$6*($A10/100))/(1-H$6*(1+((1-phimax_pore)/phimax_pore^2)*($A10/100))*($A10/100))</f>
        <v>3.56131122812998</v>
      </c>
      <c r="I10" s="9" t="n">
        <f aca="false">I$5*(1+A_pore*I$6*($A10/100))/(1-I$6*(1+((1-phimax_pore)/phimax_pore^2)*($A10/100))*($A10/100))</f>
        <v>3.58550691772948</v>
      </c>
      <c r="J10" s="9" t="n">
        <f aca="false">J$5*(1+A_pore*J$6*($A10/100))/(1-J$6*(1+((1-phimax_pore)/phimax_pore^2)*($A10/100))*($A10/100))</f>
        <v>3.61030159330291</v>
      </c>
      <c r="K10" s="9" t="n">
        <f aca="false">K$5*(1+A_pore*K$6*($A10/100))/(1-K$6*(1+((1-phimax_pore)/phimax_pore^2)*($A10/100))*($A10/100))</f>
        <v>3.63571784657475</v>
      </c>
      <c r="L10" s="9" t="n">
        <f aca="false">L$5*(1+A_pore*L$6*($A10/100))/(1-L$6*(1+((1-phimax_pore)/phimax_pore^2)*($A10/100))*($A10/100))</f>
        <v>3.66177942260141</v>
      </c>
      <c r="M10" s="9" t="n">
        <f aca="false">M$5*(1+A_pore*M$6*($A10/100))/(1-M$6*(1+((1-phimax_pore)/phimax_pore^2)*($A10/100))*($A10/100))</f>
        <v>3.68851129446069</v>
      </c>
      <c r="N10" s="9" t="n">
        <f aca="false">N$5*(1+A_pore*N$6*($A10/100))/(1-N$6*(1+((1-phimax_pore)/phimax_pore^2)*($A10/100))*($A10/100))</f>
        <v>3.71593974383047</v>
      </c>
      <c r="O10" s="9" t="n">
        <f aca="false">O$5*(1+A_pore*O$6*($A10/100))/(1-O$6*(1+((1-phimax_pore)/phimax_pore^2)*($A10/100))*($A10/100))</f>
        <v>3.74409244800611</v>
      </c>
      <c r="P10" s="9" t="n">
        <f aca="false">P$5*(1+A_pore*P$6*($A10/100))/(1-P$6*(1+((1-phimax_pore)/phimax_pore^2)*($A10/100))*($A10/100))</f>
        <v>3.77299857396577</v>
      </c>
      <c r="Q10" s="9" t="n">
        <f aca="false">Q$5*(1+A_pore*Q$6*($A10/100))/(1-Q$6*(1+((1-phimax_pore)/phimax_pore^2)*($A10/100))*($A10/100))</f>
        <v>3.80268888015951</v>
      </c>
      <c r="R10" s="9" t="n">
        <f aca="false">R$5*(1+A_pore*R$6*($A10/100))/(1-R$6*(1+((1-phimax_pore)/phimax_pore^2)*($A10/100))*($A10/100))</f>
        <v>3.8331958267733</v>
      </c>
      <c r="S10" s="9" t="n">
        <f aca="false">S$5*(1+A_pore*S$6*($A10/100))/(1-S$6*(1+((1-phimax_pore)/phimax_pore^2)*($A10/100))*($A10/100))</f>
        <v>3.86455369530369</v>
      </c>
      <c r="T10" s="9" t="n">
        <f aca="false">T$5*(1+A_pore*T$6*($A10/100))/(1-T$6*(1+((1-phimax_pore)/phimax_pore^2)*($A10/100))*($A10/100))</f>
        <v>3.89679871837477</v>
      </c>
      <c r="U10" s="9" t="n">
        <f aca="false">U$5*(1+A_pore*U$6*($A10/100))/(1-U$6*(1+((1-phimax_pore)/phimax_pore^2)*($A10/100))*($A10/100))</f>
        <v>3.92996922083697</v>
      </c>
      <c r="V10" s="9" t="n">
        <f aca="false">V$5*(1+A_pore*V$6*($A10/100))/(1-V$6*(1+((1-phimax_pore)/phimax_pore^2)*($A10/100))*($A10/100))</f>
        <v>3.96410577330985</v>
      </c>
      <c r="W10" s="9" t="n">
        <f aca="false">W$5*(1+A_pore*W$6*($A10/100))/(1-W$6*(1+((1-phimax_pore)/phimax_pore^2)*($A10/100))*($A10/100))</f>
        <v>3.9992513594701</v>
      </c>
      <c r="X10" s="9" t="n">
        <f aca="false">X$5*(1+A_pore*X$6*($A10/100))/(1-X$6*(1+((1-phimax_pore)/phimax_pore^2)*($A10/100))*($A10/100))</f>
        <v>4.03545155854391</v>
      </c>
      <c r="Y10" s="9" t="n">
        <f aca="false">Y$5*(1+A_pore*Y$6*($A10/100))/(1-Y$6*(1+((1-phimax_pore)/phimax_pore^2)*($A10/100))*($A10/100))</f>
        <v>4.07275474464274</v>
      </c>
      <c r="Z10" s="9" t="n">
        <f aca="false">Z$5*(1+A_pore*Z$6*($A10/100))/(1-Z$6*(1+((1-phimax_pore)/phimax_pore^2)*($A10/100))*($A10/100))</f>
        <v>4.11121230478704</v>
      </c>
      <c r="AA10" s="9" t="n">
        <f aca="false">AA$5*(1+A_pore*AA$6*($A10/100))/(1-AA$6*(1+((1-phimax_pore)/phimax_pore^2)*($A10/100))*($A10/100))</f>
        <v>4.15087887769705</v>
      </c>
      <c r="AB10" s="9" t="n">
        <f aca="false">AB$5*(1+A_pore*AB$6*($A10/100))/(1-AB$6*(1+((1-phimax_pore)/phimax_pore^2)*($A10/100))*($A10/100))</f>
        <v>4.1918126156988</v>
      </c>
      <c r="AC10" s="9" t="n">
        <f aca="false">AC$5*(1+A_pore*AC$6*($A10/100))/(1-AC$6*(1+((1-phimax_pore)/phimax_pore^2)*($A10/100))*($A10/100))</f>
        <v>4.23407547240215</v>
      </c>
      <c r="AD10" s="9" t="n">
        <f aca="false">AD$5*(1+A_pore*AD$6*($A10/100))/(1-AD$6*(1+((1-phimax_pore)/phimax_pore^2)*($A10/100))*($A10/100))</f>
        <v>4.27773351916303</v>
      </c>
      <c r="AE10" s="9" t="n">
        <f aca="false">AE$5*(1+A_pore*AE$6*($A10/100))/(1-AE$6*(1+((1-phimax_pore)/phimax_pore^2)*($A10/100))*($A10/100))</f>
        <v>4.3228572937514</v>
      </c>
      <c r="AF10" s="9" t="n">
        <f aca="false">AF$5*(1+A_pore*AF$6*($A10/100))/(1-AF$6*(1+((1-phimax_pore)/phimax_pore^2)*($A10/100))*($A10/100))</f>
        <v>4.36952218512007</v>
      </c>
      <c r="AG10" s="9" t="n">
        <f aca="false">AG$5*(1+A_pore*AG$6*($A10/100))/(1-AG$6*(1+((1-phimax_pore)/phimax_pore^2)*($A10/100))*($A10/100))</f>
        <v>4.417808858718</v>
      </c>
      <c r="AH10" s="9" t="n">
        <f aca="false">AH$5*(1+A_pore*AH$6*($A10/100))/(1-AH$6*(1+((1-phimax_pore)/phimax_pore^2)*($A10/100))*($A10/100))</f>
        <v>4.46780372742832</v>
      </c>
      <c r="AI10" s="9" t="n">
        <f aca="false">AI$5*(1+A_pore*AI$6*($A10/100))/(1-AI$6*(1+((1-phimax_pore)/phimax_pore^2)*($A10/100))*($A10/100))</f>
        <v>4.51959947395334</v>
      </c>
      <c r="AJ10" s="9" t="n">
        <f aca="false">AJ$5*(1+A_pore*AJ$6*($A10/100))/(1-AJ$6*(1+((1-phimax_pore)/phimax_pore^2)*($A10/100))*($A10/100))</f>
        <v>4.57329563133446</v>
      </c>
      <c r="AK10" s="9" t="n">
        <f aca="false">AK$5*(1+A_pore*AK$6*($A10/100))/(1-AK$6*(1+((1-phimax_pore)/phimax_pore^2)*($A10/100))*($A10/100))</f>
        <v>4.62899922930846</v>
      </c>
      <c r="AN10" s="4" t="n">
        <v>0</v>
      </c>
      <c r="AO10" s="4" t="n">
        <f aca="false">Samples!C4</f>
        <v>75.4</v>
      </c>
      <c r="AP10" s="4" t="n">
        <f aca="false">Samples!C9</f>
        <v>43.4</v>
      </c>
      <c r="AQ10" s="2" t="n">
        <v>0</v>
      </c>
      <c r="AR10" s="2" t="n">
        <f aca="false">AP10-AO10</f>
        <v>-32</v>
      </c>
    </row>
    <row r="11" customFormat="false" ht="15" hidden="false" customHeight="false" outlineLevel="0" collapsed="false">
      <c r="A11" s="4" t="n">
        <v>2</v>
      </c>
      <c r="B11" s="9" t="n">
        <f aca="false">B$5*(1+A_pore*B$6*($A11/100))/(1-B$6*(1+((1-phimax_pore)/phimax_pore^2)*($A11/100))*($A11/100))</f>
        <v>3.35786897708783</v>
      </c>
      <c r="C11" s="9" t="n">
        <f aca="false">C$5*(1+A_pore*C$6*($A11/100))/(1-C$6*(1+((1-phimax_pore)/phimax_pore^2)*($A11/100))*($A11/100))</f>
        <v>3.37795992798465</v>
      </c>
      <c r="D11" s="9" t="n">
        <f aca="false">D$5*(1+A_pore*D$6*($A11/100))/(1-D$6*(1+((1-phimax_pore)/phimax_pore^2)*($A11/100))*($A11/100))</f>
        <v>3.39850884859801</v>
      </c>
      <c r="E11" s="9" t="n">
        <f aca="false">E$5*(1+A_pore*E$6*($A11/100))/(1-E$6*(1+((1-phimax_pore)/phimax_pore^2)*($A11/100))*($A11/100))</f>
        <v>3.41953164708339</v>
      </c>
      <c r="F11" s="9" t="n">
        <f aca="false">F$5*(1+A_pore*F$6*($A11/100))/(1-F$6*(1+((1-phimax_pore)/phimax_pore^2)*($A11/100))*($A11/100))</f>
        <v>3.44104497965328</v>
      </c>
      <c r="G11" s="9" t="n">
        <f aca="false">G$5*(1+A_pore*G$6*($A11/100))/(1-G$6*(1+((1-phimax_pore)/phimax_pore^2)*($A11/100))*($A11/100))</f>
        <v>3.4630662952007</v>
      </c>
      <c r="H11" s="9" t="n">
        <f aca="false">H$5*(1+A_pore*H$6*($A11/100))/(1-H$6*(1+((1-phimax_pore)/phimax_pore^2)*($A11/100))*($A11/100))</f>
        <v>3.48561388316344</v>
      </c>
      <c r="I11" s="9" t="n">
        <f aca="false">I$5*(1+A_pore*I$6*($A11/100))/(1-I$6*(1+((1-phimax_pore)/phimax_pore^2)*($A11/100))*($A11/100))</f>
        <v>3.5087069249077</v>
      </c>
      <c r="J11" s="9" t="n">
        <f aca="false">J$5*(1+A_pore*J$6*($A11/100))/(1-J$6*(1+((1-phimax_pore)/phimax_pore^2)*($A11/100))*($A11/100))</f>
        <v>3.53236554893709</v>
      </c>
      <c r="K11" s="9" t="n">
        <f aca="false">K$5*(1+A_pore*K$6*($A11/100))/(1-K$6*(1+((1-phimax_pore)/phimax_pore^2)*($A11/100))*($A11/100))</f>
        <v>3.55661089026447</v>
      </c>
      <c r="L11" s="9" t="n">
        <f aca="false">L$5*(1+A_pore*L$6*($A11/100))/(1-L$6*(1+((1-phimax_pore)/phimax_pore^2)*($A11/100))*($A11/100))</f>
        <v>3.58146515431802</v>
      </c>
      <c r="M11" s="9" t="n">
        <f aca="false">M$5*(1+A_pore*M$6*($A11/100))/(1-M$6*(1+((1-phimax_pore)/phimax_pore^2)*($A11/100))*($A11/100))</f>
        <v>3.60695168579174</v>
      </c>
      <c r="N11" s="9" t="n">
        <f aca="false">N$5*(1+A_pore*N$6*($A11/100))/(1-N$6*(1+((1-phimax_pore)/phimax_pore^2)*($A11/100))*($A11/100))</f>
        <v>3.63309504289343</v>
      </c>
      <c r="O11" s="9" t="n">
        <f aca="false">O$5*(1+A_pore*O$6*($A11/100))/(1-O$6*(1+((1-phimax_pore)/phimax_pore^2)*($A11/100))*($A11/100))</f>
        <v>3.65992107749149</v>
      </c>
      <c r="P11" s="9" t="n">
        <f aca="false">P$5*(1+A_pore*P$6*($A11/100))/(1-P$6*(1+((1-phimax_pore)/phimax_pore^2)*($A11/100))*($A11/100))</f>
        <v>3.68745702171579</v>
      </c>
      <c r="Q11" s="9" t="n">
        <f aca="false">Q$5*(1+A_pore*Q$6*($A11/100))/(1-Q$6*(1+((1-phimax_pore)/phimax_pore^2)*($A11/100))*($A11/100))</f>
        <v>3.71573158162855</v>
      </c>
      <c r="R11" s="9" t="n">
        <f aca="false">R$5*(1+A_pore*R$6*($A11/100))/(1-R$6*(1+((1-phimax_pore)/phimax_pore^2)*($A11/100))*($A11/100))</f>
        <v>3.74477503864953</v>
      </c>
      <c r="S11" s="9" t="n">
        <f aca="false">S$5*(1+A_pore*S$6*($A11/100))/(1-S$6*(1+((1-phimax_pore)/phimax_pore^2)*($A11/100))*($A11/100))</f>
        <v>3.77461935949652</v>
      </c>
      <c r="T11" s="9" t="n">
        <f aca="false">T$5*(1+A_pore*T$6*($A11/100))/(1-T$6*(1+((1-phimax_pore)/phimax_pore^2)*($A11/100))*($A11/100))</f>
        <v>3.80529831548904</v>
      </c>
      <c r="U11" s="9" t="n">
        <f aca="false">U$5*(1+A_pore*U$6*($A11/100))/(1-U$6*(1+((1-phimax_pore)/phimax_pore^2)*($A11/100))*($A11/100))</f>
        <v>3.83684761216102</v>
      </c>
      <c r="V11" s="9" t="n">
        <f aca="false">V$5*(1+A_pore*V$6*($A11/100))/(1-V$6*(1+((1-phimax_pore)/phimax_pore^2)*($A11/100))*($A11/100))</f>
        <v>3.86930503023955</v>
      </c>
      <c r="W11" s="9" t="n">
        <f aca="false">W$5*(1+A_pore*W$6*($A11/100))/(1-W$6*(1+((1-phimax_pore)/phimax_pore^2)*($A11/100))*($A11/100))</f>
        <v>3.90271057917225</v>
      </c>
      <c r="X11" s="9" t="n">
        <f aca="false">X$5*(1+A_pore*X$6*($A11/100))/(1-X$6*(1+((1-phimax_pore)/phimax_pore^2)*($A11/100))*($A11/100))</f>
        <v>3.9371066645295</v>
      </c>
      <c r="Y11" s="9" t="n">
        <f aca="false">Y$5*(1+A_pore*Y$6*($A11/100))/(1-Y$6*(1+((1-phimax_pore)/phimax_pore^2)*($A11/100))*($A11/100))</f>
        <v>3.97253827076992</v>
      </c>
      <c r="Z11" s="9" t="n">
        <f aca="false">Z$5*(1+A_pore*Z$6*($A11/100))/(1-Z$6*(1+((1-phimax_pore)/phimax_pore^2)*($A11/100))*($A11/100))</f>
        <v>4.00905316104396</v>
      </c>
      <c r="AA11" s="9" t="n">
        <f aca="false">AA$5*(1+A_pore*AA$6*($A11/100))/(1-AA$6*(1+((1-phimax_pore)/phimax_pore^2)*($A11/100))*($A11/100))</f>
        <v>4.0467020959223</v>
      </c>
      <c r="AB11" s="9" t="n">
        <f aca="false">AB$5*(1+A_pore*AB$6*($A11/100))/(1-AB$6*(1+((1-phimax_pore)/phimax_pore^2)*($A11/100))*($A11/100))</f>
        <v>4.08553907317907</v>
      </c>
      <c r="AC11" s="9" t="n">
        <f aca="false">AC$5*(1+A_pore*AC$6*($A11/100))/(1-AC$6*(1+((1-phimax_pore)/phimax_pore^2)*($A11/100))*($A11/100))</f>
        <v>4.12562159103892</v>
      </c>
      <c r="AD11" s="9" t="n">
        <f aca="false">AD$5*(1+A_pore*AD$6*($A11/100))/(1-AD$6*(1+((1-phimax_pore)/phimax_pore^2)*($A11/100))*($A11/100))</f>
        <v>4.16701093761786</v>
      </c>
      <c r="AE11" s="9" t="n">
        <f aca="false">AE$5*(1+A_pore*AE$6*($A11/100))/(1-AE$6*(1+((1-phimax_pore)/phimax_pore^2)*($A11/100))*($A11/100))</f>
        <v>4.20977250965749</v>
      </c>
      <c r="AF11" s="9" t="n">
        <f aca="false">AF$5*(1+A_pore*AF$6*($A11/100))/(1-AF$6*(1+((1-phimax_pore)/phimax_pore^2)*($A11/100))*($A11/100))</f>
        <v>4.25397616407991</v>
      </c>
      <c r="AG11" s="9" t="n">
        <f aca="false">AG$5*(1+A_pore*AG$6*($A11/100))/(1-AG$6*(1+((1-phimax_pore)/phimax_pore^2)*($A11/100))*($A11/100))</f>
        <v>4.29969660638499</v>
      </c>
      <c r="AH11" s="9" t="n">
        <f aca="false">AH$5*(1+A_pore*AH$6*($A11/100))/(1-AH$6*(1+((1-phimax_pore)/phimax_pore^2)*($A11/100))*($A11/100))</f>
        <v>4.3470138204866</v>
      </c>
      <c r="AI11" s="9" t="n">
        <f aca="false">AI$5*(1+A_pore*AI$6*($A11/100))/(1-AI$6*(1+((1-phimax_pore)/phimax_pore^2)*($A11/100))*($A11/100))</f>
        <v>4.39601354525274</v>
      </c>
      <c r="AJ11" s="9" t="n">
        <f aca="false">AJ$5*(1+A_pore*AJ$6*($A11/100))/(1-AJ$6*(1+((1-phimax_pore)/phimax_pore^2)*($A11/100))*($A11/100))</f>
        <v>4.44678780379495</v>
      </c>
      <c r="AK11" s="9" t="n">
        <f aca="false">AK$5*(1+A_pore*AK$6*($A11/100))/(1-AK$6*(1+((1-phimax_pore)/phimax_pore^2)*($A11/100))*($A11/100))</f>
        <v>4.49943549246545</v>
      </c>
      <c r="AN11" s="4" t="n">
        <v>10</v>
      </c>
      <c r="AO11" s="4" t="n">
        <f aca="false">Samples!C5</f>
        <v>91.4</v>
      </c>
      <c r="AP11" s="4" t="n">
        <f aca="false">Samples!C10</f>
        <v>29.8</v>
      </c>
      <c r="AQ11" s="2" t="n">
        <v>0</v>
      </c>
      <c r="AR11" s="2" t="n">
        <f aca="false">AP11-AO11</f>
        <v>-61.6</v>
      </c>
    </row>
    <row r="12" customFormat="false" ht="15" hidden="false" customHeight="false" outlineLevel="0" collapsed="false">
      <c r="A12" s="4" t="n">
        <v>3</v>
      </c>
      <c r="B12" s="9" t="n">
        <f aca="false">B$5*(1+A_pore*B$6*($A12/100))/(1-B$6*(1+((1-phimax_pore)/phimax_pore^2)*($A12/100))*($A12/100))</f>
        <v>3.2907191553381</v>
      </c>
      <c r="C12" s="9" t="n">
        <f aca="false">C$5*(1+A_pore*C$6*($A12/100))/(1-C$6*(1+((1-phimax_pore)/phimax_pore^2)*($A12/100))*($A12/100))</f>
        <v>3.3099336856007</v>
      </c>
      <c r="D12" s="9" t="n">
        <f aca="false">D$5*(1+A_pore*D$6*($A12/100))/(1-D$6*(1+((1-phimax_pore)/phimax_pore^2)*($A12/100))*($A12/100))</f>
        <v>3.32958187240275</v>
      </c>
      <c r="E12" s="9" t="n">
        <f aca="false">E$5*(1+A_pore*E$6*($A12/100))/(1-E$6*(1+((1-phimax_pore)/phimax_pore^2)*($A12/100))*($A12/100))</f>
        <v>3.34967865048772</v>
      </c>
      <c r="F12" s="9" t="n">
        <f aca="false">F$5*(1+A_pore*F$6*($A12/100))/(1-F$6*(1+((1-phimax_pore)/phimax_pore^2)*($A12/100))*($A12/100))</f>
        <v>3.37023965173425</v>
      </c>
      <c r="G12" s="9" t="n">
        <f aca="false">G$5*(1+A_pore*G$6*($A12/100))/(1-G$6*(1+((1-phimax_pore)/phimax_pore^2)*($A12/100))*($A12/100))</f>
        <v>3.39128124648266</v>
      </c>
      <c r="H12" s="9" t="n">
        <f aca="false">H$5*(1+A_pore*H$6*($A12/100))/(1-H$6*(1+((1-phimax_pore)/phimax_pore^2)*($A12/100))*($A12/100))</f>
        <v>3.41282058784713</v>
      </c>
      <c r="I12" s="9" t="n">
        <f aca="false">I$5*(1+A_pore*I$6*($A12/100))/(1-I$6*(1+((1-phimax_pore)/phimax_pore^2)*($A12/100))*($A12/100))</f>
        <v>3.43487565926868</v>
      </c>
      <c r="J12" s="9" t="n">
        <f aca="false">J$5*(1+A_pore*J$6*($A12/100))/(1-J$6*(1+((1-phimax_pore)/phimax_pore^2)*($A12/100))*($A12/100))</f>
        <v>3.45746532559</v>
      </c>
      <c r="K12" s="9" t="n">
        <f aca="false">K$5*(1+A_pore*K$6*($A12/100))/(1-K$6*(1+((1-phimax_pore)/phimax_pore^2)*($A12/100))*($A12/100))</f>
        <v>3.48060938796102</v>
      </c>
      <c r="L12" s="9" t="n">
        <f aca="false">L$5*(1+A_pore*L$6*($A12/100))/(1-L$6*(1+((1-phimax_pore)/phimax_pore^2)*($A12/100))*($A12/100))</f>
        <v>3.50432864291575</v>
      </c>
      <c r="M12" s="9" t="n">
        <f aca="false">M$5*(1+A_pore*M$6*($A12/100))/(1-M$6*(1+((1-phimax_pore)/phimax_pore^2)*($A12/100))*($A12/100))</f>
        <v>3.52864494599599</v>
      </c>
      <c r="N12" s="9" t="n">
        <f aca="false">N$5*(1+A_pore*N$6*($A12/100))/(1-N$6*(1+((1-phimax_pore)/phimax_pore^2)*($A12/100))*($A12/100))</f>
        <v>3.55358128033683</v>
      </c>
      <c r="O12" s="9" t="n">
        <f aca="false">O$5*(1+A_pore*O$6*($A12/100))/(1-O$6*(1+((1-phimax_pore)/phimax_pore^2)*($A12/100))*($A12/100))</f>
        <v>3.57916183067265</v>
      </c>
      <c r="P12" s="9" t="n">
        <f aca="false">P$5*(1+A_pore*P$6*($A12/100))/(1-P$6*(1+((1-phimax_pore)/phimax_pore^2)*($A12/100))*($A12/100))</f>
        <v>3.6054120632719</v>
      </c>
      <c r="Q12" s="9" t="n">
        <f aca="false">Q$5*(1+A_pore*Q$6*($A12/100))/(1-Q$6*(1+((1-phimax_pore)/phimax_pore^2)*($A12/100))*($A12/100))</f>
        <v>3.63235881236379</v>
      </c>
      <c r="R12" s="9" t="n">
        <f aca="false">R$5*(1+A_pore*R$6*($A12/100))/(1-R$6*(1+((1-phimax_pore)/phimax_pore^2)*($A12/100))*($A12/100))</f>
        <v>3.66003037368287</v>
      </c>
      <c r="S12" s="9" t="n">
        <f aca="false">S$5*(1+A_pore*S$6*($A12/100))/(1-S$6*(1+((1-phimax_pore)/phimax_pore^2)*($A12/100))*($A12/100))</f>
        <v>3.68845660582673</v>
      </c>
      <c r="T12" s="9" t="n">
        <f aca="false">T$5*(1+A_pore*T$6*($A12/100))/(1-T$6*(1+((1-phimax_pore)/phimax_pore^2)*($A12/100))*($A12/100))</f>
        <v>3.71766904020186</v>
      </c>
      <c r="U12" s="9" t="n">
        <f aca="false">U$5*(1+A_pore*U$6*($A12/100))/(1-U$6*(1+((1-phimax_pore)/phimax_pore^2)*($A12/100))*($A12/100))</f>
        <v>3.74770100042147</v>
      </c>
      <c r="V12" s="9" t="n">
        <f aca="false">V$5*(1+A_pore*V$6*($A12/100))/(1-V$6*(1+((1-phimax_pore)/phimax_pore^2)*($A12/100))*($A12/100))</f>
        <v>3.77858773212025</v>
      </c>
      <c r="W12" s="9" t="n">
        <f aca="false">W$5*(1+A_pore*W$6*($A12/100))/(1-W$6*(1+((1-phimax_pore)/phimax_pore^2)*($A12/100))*($A12/100))</f>
        <v>3.81036654426578</v>
      </c>
      <c r="X12" s="9" t="n">
        <f aca="false">X$5*(1+A_pore*X$6*($A12/100))/(1-X$6*(1+((1-phimax_pore)/phimax_pore^2)*($A12/100))*($A12/100))</f>
        <v>3.84307696317642</v>
      </c>
      <c r="Y12" s="9" t="n">
        <f aca="false">Y$5*(1+A_pore*Y$6*($A12/100))/(1-Y$6*(1+((1-phimax_pore)/phimax_pore^2)*($A12/100))*($A12/100))</f>
        <v>3.87676090060337</v>
      </c>
      <c r="Z12" s="9" t="n">
        <f aca="false">Z$5*(1+A_pore*Z$6*($A12/100))/(1-Z$6*(1+((1-phimax_pore)/phimax_pore^2)*($A12/100))*($A12/100))</f>
        <v>3.91146283740401</v>
      </c>
      <c r="AA12" s="9" t="n">
        <f aca="false">AA$5*(1+A_pore*AA$6*($A12/100))/(1-AA$6*(1+((1-phimax_pore)/phimax_pore^2)*($A12/100))*($A12/100))</f>
        <v>3.94723002452596</v>
      </c>
      <c r="AB12" s="9" t="n">
        <f aca="false">AB$5*(1+A_pore*AB$6*($A12/100))/(1-AB$6*(1+((1-phimax_pore)/phimax_pore^2)*($A12/100))*($A12/100))</f>
        <v>3.98411270324292</v>
      </c>
      <c r="AC12" s="9" t="n">
        <f aca="false">AC$5*(1+A_pore*AC$6*($A12/100))/(1-AC$6*(1+((1-phimax_pore)/phimax_pore^2)*($A12/100))*($A12/100))</f>
        <v>4.02216434683606</v>
      </c>
      <c r="AD12" s="9" t="n">
        <f aca="false">AD$5*(1+A_pore*AD$6*($A12/100))/(1-AD$6*(1+((1-phimax_pore)/phimax_pore^2)*($A12/100))*($A12/100))</f>
        <v>4.0614419262067</v>
      </c>
      <c r="AE12" s="9" t="n">
        <f aca="false">AE$5*(1+A_pore*AE$6*($A12/100))/(1-AE$6*(1+((1-phimax_pore)/phimax_pore^2)*($A12/100))*($A12/100))</f>
        <v>4.1020062022414</v>
      </c>
      <c r="AF12" s="9" t="n">
        <f aca="false">AF$5*(1+A_pore*AF$6*($A12/100))/(1-AF$6*(1+((1-phimax_pore)/phimax_pore^2)*($A12/100))*($A12/100))</f>
        <v>4.14392204813846</v>
      </c>
      <c r="AG12" s="9" t="n">
        <f aca="false">AG$5*(1+A_pore*AG$6*($A12/100))/(1-AG$6*(1+((1-phimax_pore)/phimax_pore^2)*($A12/100))*($A12/100))</f>
        <v>4.18725880535383</v>
      </c>
      <c r="AH12" s="9" t="n">
        <f aca="false">AH$5*(1+A_pore*AH$6*($A12/100))/(1-AH$6*(1+((1-phimax_pore)/phimax_pore^2)*($A12/100))*($A12/100))</f>
        <v>4.23209067734523</v>
      </c>
      <c r="AI12" s="9" t="n">
        <f aca="false">AI$5*(1+A_pore*AI$6*($A12/100))/(1-AI$6*(1+((1-phimax_pore)/phimax_pore^2)*($A12/100))*($A12/100))</f>
        <v>4.27849716589974</v>
      </c>
      <c r="AJ12" s="9" t="n">
        <f aca="false">AJ$5*(1+A_pore*AJ$6*($A12/100))/(1-AJ$6*(1+((1-phimax_pore)/phimax_pore^2)*($A12/100))*($A12/100))</f>
        <v>4.32656355553718</v>
      </c>
      <c r="AK12" s="9" t="n">
        <f aca="false">AK$5*(1+A_pore*AK$6*($A12/100))/(1-AK$6*(1+((1-phimax_pore)/phimax_pore^2)*($A12/100))*($A12/100))</f>
        <v>4.37638145230878</v>
      </c>
      <c r="AN12" s="4" t="n">
        <v>30</v>
      </c>
      <c r="AO12" s="4" t="n">
        <f aca="false">Samples!C6</f>
        <v>48.8</v>
      </c>
      <c r="AP12" s="4" t="n">
        <f aca="false">Samples!C11</f>
        <v>67.2</v>
      </c>
      <c r="AQ12" s="2" t="n">
        <v>0</v>
      </c>
      <c r="AR12" s="2" t="n">
        <f aca="false">AP12-AO12</f>
        <v>18.4</v>
      </c>
    </row>
    <row r="13" customFormat="false" ht="15" hidden="false" customHeight="false" outlineLevel="0" collapsed="false">
      <c r="A13" s="4" t="n">
        <v>4</v>
      </c>
      <c r="B13" s="9" t="n">
        <f aca="false">B$5*(1+A_pore*B$6*($A13/100))/(1-B$6*(1+((1-phimax_pore)/phimax_pore^2)*($A13/100))*($A13/100))</f>
        <v>3.22599155094937</v>
      </c>
      <c r="C13" s="9" t="n">
        <f aca="false">C$5*(1+A_pore*C$6*($A13/100))/(1-C$6*(1+((1-phimax_pore)/phimax_pore^2)*($A13/100))*($A13/100))</f>
        <v>3.24437823360912</v>
      </c>
      <c r="D13" s="9" t="n">
        <f aca="false">D$5*(1+A_pore*D$6*($A13/100))/(1-D$6*(1+((1-phimax_pore)/phimax_pore^2)*($A13/100))*($A13/100))</f>
        <v>3.263175917925</v>
      </c>
      <c r="E13" s="9" t="n">
        <f aca="false">E$5*(1+A_pore*E$6*($A13/100))/(1-E$6*(1+((1-phimax_pore)/phimax_pore^2)*($A13/100))*($A13/100))</f>
        <v>3.28239864251813</v>
      </c>
      <c r="F13" s="9" t="n">
        <f aca="false">F$5*(1+A_pore*F$6*($A13/100))/(1-F$6*(1+((1-phimax_pore)/phimax_pore^2)*($A13/100))*($A13/100))</f>
        <v>3.30206109677684</v>
      </c>
      <c r="G13" s="9" t="n">
        <f aca="false">G$5*(1+A_pore*G$6*($A13/100))/(1-G$6*(1+((1-phimax_pore)/phimax_pore^2)*($A13/100))*($A13/100))</f>
        <v>3.3221786592111</v>
      </c>
      <c r="H13" s="9" t="n">
        <f aca="false">H$5*(1+A_pore*H$6*($A13/100))/(1-H$6*(1+((1-phimax_pore)/phimax_pore^2)*($A13/100))*($A13/100))</f>
        <v>3.34276743856433</v>
      </c>
      <c r="I13" s="9" t="n">
        <f aca="false">I$5*(1+A_pore*I$6*($A13/100))/(1-I$6*(1+((1-phimax_pore)/phimax_pore^2)*($A13/100))*($A13/100))</f>
        <v>3.36384431791782</v>
      </c>
      <c r="J13" s="9" t="n">
        <f aca="false">J$5*(1+A_pore*J$6*($A13/100))/(1-J$6*(1+((1-phimax_pore)/phimax_pore^2)*($A13/100))*($A13/100))</f>
        <v>3.38542700204582</v>
      </c>
      <c r="K13" s="9" t="n">
        <f aca="false">K$5*(1+A_pore*K$6*($A13/100))/(1-K$6*(1+((1-phimax_pore)/phimax_pore^2)*($A13/100))*($A13/100))</f>
        <v>3.40753406830558</v>
      </c>
      <c r="L13" s="9" t="n">
        <f aca="false">L$5*(1+A_pore*L$6*($A13/100))/(1-L$6*(1+((1-phimax_pore)/phimax_pore^2)*($A13/100))*($A13/100))</f>
        <v>3.43018502137527</v>
      </c>
      <c r="M13" s="9" t="n">
        <f aca="false">M$5*(1+A_pore*M$6*($A13/100))/(1-M$6*(1+((1-phimax_pore)/phimax_pore^2)*($A13/100))*($A13/100))</f>
        <v>3.4534003521849</v>
      </c>
      <c r="N13" s="9" t="n">
        <f aca="false">N$5*(1+A_pore*N$6*($A13/100))/(1-N$6*(1+((1-phimax_pore)/phimax_pore^2)*($A13/100))*($A13/100))</f>
        <v>3.47720160142139</v>
      </c>
      <c r="O13" s="9" t="n">
        <f aca="false">O$5*(1+A_pore*O$6*($A13/100))/(1-O$6*(1+((1-phimax_pore)/phimax_pore^2)*($A13/100))*($A13/100))</f>
        <v>3.50161142802926</v>
      </c>
      <c r="P13" s="9" t="n">
        <f aca="false">P$5*(1+A_pore*P$6*($A13/100))/(1-P$6*(1+((1-phimax_pore)/phimax_pore^2)*($A13/100))*($A13/100))</f>
        <v>3.5266536831732</v>
      </c>
      <c r="Q13" s="9" t="n">
        <f aca="false">Q$5*(1+A_pore*Q$6*($A13/100))/(1-Q$6*(1+((1-phimax_pore)/phimax_pore^2)*($A13/100))*($A13/100))</f>
        <v>3.55235349017996</v>
      </c>
      <c r="R13" s="9" t="n">
        <f aca="false">R$5*(1+A_pore*R$6*($A13/100))/(1-R$6*(1+((1-phimax_pore)/phimax_pore^2)*($A13/100))*($A13/100))</f>
        <v>3.57873733103329</v>
      </c>
      <c r="S13" s="9" t="n">
        <f aca="false">S$5*(1+A_pore*S$6*($A13/100))/(1-S$6*(1+((1-phimax_pore)/phimax_pore^2)*($A13/100))*($A13/100))</f>
        <v>3.60583314006025</v>
      </c>
      <c r="T13" s="9" t="n">
        <f aca="false">T$5*(1+A_pore*T$6*($A13/100))/(1-T$6*(1+((1-phimax_pore)/phimax_pore^2)*($A13/100))*($A13/100))</f>
        <v>3.63367040551931</v>
      </c>
      <c r="U13" s="9" t="n">
        <f aca="false">U$5*(1+A_pore*U$6*($A13/100))/(1-U$6*(1+((1-phimax_pore)/phimax_pore^2)*($A13/100))*($A13/100))</f>
        <v>3.66228027988215</v>
      </c>
      <c r="V13" s="9" t="n">
        <f aca="false">V$5*(1+A_pore*V$6*($A13/100))/(1-V$6*(1+((1-phimax_pore)/phimax_pore^2)*($A13/100))*($A13/100))</f>
        <v>3.69169569969376</v>
      </c>
      <c r="W13" s="9" t="n">
        <f aca="false">W$5*(1+A_pore*W$6*($A13/100))/(1-W$6*(1+((1-phimax_pore)/phimax_pore^2)*($A13/100))*($A13/100))</f>
        <v>3.72195151599992</v>
      </c>
      <c r="X13" s="9" t="n">
        <f aca="false">X$5*(1+A_pore*X$6*($A13/100))/(1-X$6*(1+((1-phimax_pore)/phimax_pore^2)*($A13/100))*($A13/100))</f>
        <v>3.75308463645022</v>
      </c>
      <c r="Y13" s="9" t="n">
        <f aca="false">Y$5*(1+A_pore*Y$6*($A13/100))/(1-Y$6*(1+((1-phimax_pore)/phimax_pore^2)*($A13/100))*($A13/100))</f>
        <v>3.78513418032003</v>
      </c>
      <c r="Z13" s="9" t="n">
        <f aca="false">Z$5*(1+A_pore*Z$6*($A13/100))/(1-Z$6*(1+((1-phimax_pore)/phimax_pore^2)*($A13/100))*($A13/100))</f>
        <v>3.81814164784904</v>
      </c>
      <c r="AA13" s="9" t="n">
        <f aca="false">AA$5*(1+A_pore*AA$6*($A13/100))/(1-AA$6*(1+((1-phimax_pore)/phimax_pore^2)*($A13/100))*($A13/100))</f>
        <v>3.85215110547036</v>
      </c>
      <c r="AB13" s="9" t="n">
        <f aca="false">AB$5*(1+A_pore*AB$6*($A13/100))/(1-AB$6*(1+((1-phimax_pore)/phimax_pore^2)*($A13/100))*($A13/100))</f>
        <v>3.88720938870555</v>
      </c>
      <c r="AC13" s="9" t="n">
        <f aca="false">AC$5*(1+A_pore*AC$6*($A13/100))/(1-AC$6*(1+((1-phimax_pore)/phimax_pore^2)*($A13/100))*($A13/100))</f>
        <v>3.92336632473247</v>
      </c>
      <c r="AD13" s="9" t="n">
        <f aca="false">AD$5*(1+A_pore*AD$6*($A13/100))/(1-AD$6*(1+((1-phimax_pore)/phimax_pore^2)*($A13/100))*($A13/100))</f>
        <v>3.96067497689847</v>
      </c>
      <c r="AE13" s="9" t="n">
        <f aca="false">AE$5*(1+A_pore*AE$6*($A13/100))/(1-AE$6*(1+((1-phimax_pore)/phimax_pore^2)*($A13/100))*($A13/100))</f>
        <v>3.99919191375794</v>
      </c>
      <c r="AF13" s="9" t="n">
        <f aca="false">AF$5*(1+A_pore*AF$6*($A13/100))/(1-AF$6*(1+((1-phimax_pore)/phimax_pore^2)*($A13/100))*($A13/100))</f>
        <v>4.03897750556647</v>
      </c>
      <c r="AG13" s="9" t="n">
        <f aca="false">AG$5*(1+A_pore*AG$6*($A13/100))/(1-AG$6*(1+((1-phimax_pore)/phimax_pore^2)*($A13/100))*($A13/100))</f>
        <v>4.08009625157367</v>
      </c>
      <c r="AH13" s="9" t="n">
        <f aca="false">AH$5*(1+A_pore*AH$6*($A13/100))/(1-AH$6*(1+((1-phimax_pore)/phimax_pore^2)*($A13/100))*($A13/100))</f>
        <v>4.12261714193098</v>
      </c>
      <c r="AI13" s="9" t="n">
        <f aca="false">AI$5*(1+A_pore*AI$6*($A13/100))/(1-AI$6*(1+((1-phimax_pore)/phimax_pore^2)*($A13/100))*($A13/100))</f>
        <v>4.16661405858389</v>
      </c>
      <c r="AJ13" s="9" t="n">
        <f aca="false">AJ$5*(1+A_pore*AJ$6*($A13/100))/(1-AJ$6*(1+((1-phimax_pore)/phimax_pore^2)*($A13/100))*($A13/100))</f>
        <v>4.2121662201616</v>
      </c>
      <c r="AK13" s="9" t="n">
        <f aca="false">AK$5*(1+A_pore*AK$6*($A13/100))/(1-AK$6*(1+((1-phimax_pore)/phimax_pore^2)*($A13/100))*($A13/100))</f>
        <v>4.25935867663148</v>
      </c>
      <c r="AN13" s="4" t="n">
        <v>50</v>
      </c>
      <c r="AO13" s="4" t="n">
        <f aca="false">Samples!C7</f>
        <v>58.1</v>
      </c>
      <c r="AP13" s="4" t="n">
        <f aca="false">Samples!C12</f>
        <v>64.6</v>
      </c>
      <c r="AQ13" s="2" t="n">
        <v>0</v>
      </c>
      <c r="AR13" s="2" t="n">
        <f aca="false">AP13-AO13</f>
        <v>6.49999999999999</v>
      </c>
    </row>
    <row r="14" customFormat="false" ht="15" hidden="false" customHeight="false" outlineLevel="0" collapsed="false">
      <c r="A14" s="4" t="n">
        <v>5</v>
      </c>
      <c r="B14" s="9" t="n">
        <f aca="false">B$5*(1+A_pore*B$6*($A14/100))/(1-B$6*(1+((1-phimax_pore)/phimax_pore^2)*($A14/100))*($A14/100))</f>
        <v>3.16355748262839</v>
      </c>
      <c r="C14" s="9" t="n">
        <f aca="false">C$5*(1+A_pore*C$6*($A14/100))/(1-C$6*(1+((1-phimax_pore)/phimax_pore^2)*($A14/100))*($A14/100))</f>
        <v>3.18116141882811</v>
      </c>
      <c r="D14" s="9" t="n">
        <f aca="false">D$5*(1+A_pore*D$6*($A14/100))/(1-D$6*(1+((1-phimax_pore)/phimax_pore^2)*($A14/100))*($A14/100))</f>
        <v>3.19915521839882</v>
      </c>
      <c r="E14" s="9" t="n">
        <f aca="false">E$5*(1+A_pore*E$6*($A14/100))/(1-E$6*(1+((1-phimax_pore)/phimax_pore^2)*($A14/100))*($A14/100))</f>
        <v>3.21755209355839</v>
      </c>
      <c r="F14" s="9" t="n">
        <f aca="false">F$5*(1+A_pore*F$6*($A14/100))/(1-F$6*(1+((1-phimax_pore)/phimax_pore^2)*($A14/100))*($A14/100))</f>
        <v>3.23636586497958</v>
      </c>
      <c r="G14" s="9" t="n">
        <f aca="false">G$5*(1+A_pore*G$6*($A14/100))/(1-G$6*(1+((1-phimax_pore)/phimax_pore^2)*($A14/100))*($A14/100))</f>
        <v>3.25561099745788</v>
      </c>
      <c r="H14" s="9" t="n">
        <f aca="false">H$5*(1+A_pore*H$6*($A14/100))/(1-H$6*(1+((1-phimax_pore)/phimax_pore^2)*($A14/100))*($A14/100))</f>
        <v>3.27530263813255</v>
      </c>
      <c r="I14" s="9" t="n">
        <f aca="false">I$5*(1+A_pore*I$6*($A14/100))/(1-I$6*(1+((1-phimax_pore)/phimax_pore^2)*($A14/100))*($A14/100))</f>
        <v>3.29545665747769</v>
      </c>
      <c r="J14" s="9" t="n">
        <f aca="false">J$5*(1+A_pore*J$6*($A14/100))/(1-J$6*(1+((1-phimax_pore)/phimax_pore^2)*($A14/100))*($A14/100))</f>
        <v>3.31608969330149</v>
      </c>
      <c r="K14" s="9" t="n">
        <f aca="false">K$5*(1+A_pore*K$6*($A14/100))/(1-K$6*(1+((1-phimax_pore)/phimax_pore^2)*($A14/100))*($A14/100))</f>
        <v>3.33721919801588</v>
      </c>
      <c r="L14" s="9" t="n">
        <f aca="false">L$5*(1+A_pore*L$6*($A14/100))/(1-L$6*(1+((1-phimax_pore)/phimax_pore^2)*($A14/100))*($A14/100))</f>
        <v>3.35886348946484</v>
      </c>
      <c r="M14" s="9" t="n">
        <f aca="false">M$5*(1+A_pore*M$6*($A14/100))/(1-M$6*(1+((1-phimax_pore)/phimax_pore^2)*($A14/100))*($A14/100))</f>
        <v>3.38104180562987</v>
      </c>
      <c r="N14" s="9" t="n">
        <f aca="false">N$5*(1+A_pore*N$6*($A14/100))/(1-N$6*(1+((1-phimax_pore)/phimax_pore^2)*($A14/100))*($A14/100))</f>
        <v>3.40377436356355</v>
      </c>
      <c r="O14" s="9" t="n">
        <f aca="false">O$5*(1+A_pore*O$6*($A14/100))/(1-O$6*(1+((1-phimax_pore)/phimax_pore^2)*($A14/100))*($A14/100))</f>
        <v>3.4270824229396</v>
      </c>
      <c r="P14" s="9" t="n">
        <f aca="false">P$5*(1+A_pore*P$6*($A14/100))/(1-P$6*(1+((1-phimax_pore)/phimax_pore^2)*($A14/100))*($A14/100))</f>
        <v>3.45098835464901</v>
      </c>
      <c r="Q14" s="9" t="n">
        <f aca="false">Q$5*(1+A_pore*Q$6*($A14/100))/(1-Q$6*(1+((1-phimax_pore)/phimax_pore^2)*($A14/100))*($A14/100))</f>
        <v>3.47551571491844</v>
      </c>
      <c r="R14" s="9" t="n">
        <f aca="false">R$5*(1+A_pore*R$6*($A14/100))/(1-R$6*(1+((1-phimax_pore)/phimax_pore^2)*($A14/100))*($A14/100))</f>
        <v>3.50068932547948</v>
      </c>
      <c r="S14" s="9" t="n">
        <f aca="false">S$5*(1+A_pore*S$6*($A14/100))/(1-S$6*(1+((1-phimax_pore)/phimax_pore^2)*($A14/100))*($A14/100))</f>
        <v>3.52653536037589</v>
      </c>
      <c r="T14" s="9" t="n">
        <f aca="false">T$5*(1+A_pore*T$6*($A14/100))/(1-T$6*(1+((1-phimax_pore)/phimax_pore^2)*($A14/100))*($A14/100))</f>
        <v>3.55308144006274</v>
      </c>
      <c r="U14" s="9" t="n">
        <f aca="false">U$5*(1+A_pore*U$6*($A14/100))/(1-U$6*(1+((1-phimax_pore)/phimax_pore^2)*($A14/100))*($A14/100))</f>
        <v>3.58035673352597</v>
      </c>
      <c r="V14" s="9" t="n">
        <f aca="false">V$5*(1+A_pore*V$6*($A14/100))/(1-V$6*(1+((1-phimax_pore)/phimax_pore^2)*($A14/100))*($A14/100))</f>
        <v>3.60839206923585</v>
      </c>
      <c r="W14" s="9" t="n">
        <f aca="false">W$5*(1+A_pore*W$6*($A14/100))/(1-W$6*(1+((1-phimax_pore)/phimax_pore^2)*($A14/100))*($A14/100))</f>
        <v>3.63722005584388</v>
      </c>
      <c r="X14" s="9" t="n">
        <f aca="false">X$5*(1+A_pore*X$6*($A14/100))/(1-X$6*(1+((1-phimax_pore)/phimax_pore^2)*($A14/100))*($A14/100))</f>
        <v>3.66687521364179</v>
      </c>
      <c r="Y14" s="9" t="n">
        <f aca="false">Y$5*(1+A_pore*Y$6*($A14/100))/(1-Y$6*(1+((1-phimax_pore)/phimax_pore^2)*($A14/100))*($A14/100))</f>
        <v>3.69739411792542</v>
      </c>
      <c r="Z14" s="9" t="n">
        <f aca="false">Z$5*(1+A_pore*Z$6*($A14/100))/(1-Z$6*(1+((1-phimax_pore)/phimax_pore^2)*($A14/100))*($A14/100))</f>
        <v>3.72881555554777</v>
      </c>
      <c r="AA14" s="9" t="n">
        <f aca="false">AA$5*(1+A_pore*AA$6*($A14/100))/(1-AA$6*(1+((1-phimax_pore)/phimax_pore^2)*($A14/100))*($A14/100))</f>
        <v>3.76118069610682</v>
      </c>
      <c r="AB14" s="9" t="n">
        <f aca="false">AB$5*(1+A_pore*AB$6*($A14/100))/(1-AB$6*(1+((1-phimax_pore)/phimax_pore^2)*($A14/100))*($A14/100))</f>
        <v>3.79453327939905</v>
      </c>
      <c r="AC14" s="9" t="n">
        <f aca="false">AC$5*(1+A_pore*AC$6*($A14/100))/(1-AC$6*(1+((1-phimax_pore)/phimax_pore^2)*($A14/100))*($A14/100))</f>
        <v>3.82891982098097</v>
      </c>
      <c r="AD14" s="9" t="n">
        <f aca="false">AD$5*(1+A_pore*AD$6*($A14/100))/(1-AD$6*(1+((1-phimax_pore)/phimax_pore^2)*($A14/100))*($A14/100))</f>
        <v>3.86438983792508</v>
      </c>
      <c r="AE14" s="9" t="n">
        <f aca="false">AE$5*(1+A_pore*AE$6*($A14/100))/(1-AE$6*(1+((1-phimax_pore)/phimax_pore^2)*($A14/100))*($A14/100))</f>
        <v>3.90099609713692</v>
      </c>
      <c r="AF14" s="9" t="n">
        <f aca="false">AF$5*(1+A_pore*AF$6*($A14/100))/(1-AF$6*(1+((1-phimax_pore)/phimax_pore^2)*($A14/100))*($A14/100))</f>
        <v>3.93879488892413</v>
      </c>
      <c r="AG14" s="9" t="n">
        <f aca="false">AG$5*(1+A_pore*AG$6*($A14/100))/(1-AG$6*(1+((1-phimax_pore)/phimax_pore^2)*($A14/100))*($A14/100))</f>
        <v>3.97784632888285</v>
      </c>
      <c r="AH14" s="9" t="n">
        <f aca="false">AH$5*(1+A_pore*AH$6*($A14/100))/(1-AH$6*(1+((1-phimax_pore)/phimax_pore^2)*($A14/100))*($A14/100))</f>
        <v>4.0182146916021</v>
      </c>
      <c r="AI14" s="9" t="n">
        <f aca="false">AI$5*(1+A_pore*AI$6*($A14/100))/(1-AI$6*(1+((1-phimax_pore)/phimax_pore^2)*($A14/100))*($A14/100))</f>
        <v>4.05996878019229</v>
      </c>
      <c r="AJ14" s="9" t="n">
        <f aca="false">AJ$5*(1+A_pore*AJ$6*($A14/100))/(1-AJ$6*(1+((1-phimax_pore)/phimax_pore^2)*($A14/100))*($A14/100))</f>
        <v>4.10318233623402</v>
      </c>
      <c r="AK14" s="9" t="n">
        <f aca="false">AK$5*(1+A_pore*AK$6*($A14/100))/(1-AK$6*(1+((1-phimax_pore)/phimax_pore^2)*($A14/100))*($A14/100))</f>
        <v>4.14793449543275</v>
      </c>
      <c r="AN14" s="4" t="n">
        <v>70</v>
      </c>
      <c r="AO14" s="4" t="n">
        <f aca="false">Samples!C8</f>
        <v>54.2</v>
      </c>
      <c r="AP14" s="4" t="n">
        <f aca="false">Samples!C13</f>
        <v>48.8</v>
      </c>
      <c r="AQ14" s="2" t="n">
        <v>0</v>
      </c>
      <c r="AR14" s="2" t="n">
        <f aca="false">AP14-AO14</f>
        <v>-5.40000000000001</v>
      </c>
    </row>
    <row r="15" customFormat="false" ht="15" hidden="false" customHeight="false" outlineLevel="0" collapsed="false">
      <c r="A15" s="4" t="n">
        <v>6</v>
      </c>
      <c r="B15" s="9" t="n">
        <f aca="false">B$5*(1+A_pore*B$6*($A15/100))/(1-B$6*(1+((1-phimax_pore)/phimax_pore^2)*($A15/100))*($A15/100))</f>
        <v>3.1032972254506</v>
      </c>
      <c r="C15" s="9" t="n">
        <f aca="false">C$5*(1+A_pore*C$6*($A15/100))/(1-C$6*(1+((1-phimax_pore)/phimax_pore^2)*($A15/100))*($A15/100))</f>
        <v>3.12016034746393</v>
      </c>
      <c r="D15" s="9" t="n">
        <f aca="false">D$5*(1+A_pore*D$6*($A15/100))/(1-D$6*(1+((1-phimax_pore)/phimax_pore^2)*($A15/100))*($A15/100))</f>
        <v>3.13739358387165</v>
      </c>
      <c r="E15" s="9" t="n">
        <f aca="false">E$5*(1+A_pore*E$6*($A15/100))/(1-E$6*(1+((1-phimax_pore)/phimax_pore^2)*($A15/100))*($A15/100))</f>
        <v>3.15500938350559</v>
      </c>
      <c r="F15" s="9" t="n">
        <f aca="false">F$5*(1+A_pore*F$6*($A15/100))/(1-F$6*(1+((1-phimax_pore)/phimax_pore^2)*($A15/100))*($A15/100))</f>
        <v>3.17302076496043</v>
      </c>
      <c r="G15" s="9" t="n">
        <f aca="false">G$5*(1+A_pore*G$6*($A15/100))/(1-G$6*(1+((1-phimax_pore)/phimax_pore^2)*($A15/100))*($A15/100))</f>
        <v>3.19144134982712</v>
      </c>
      <c r="H15" s="9" t="n">
        <f aca="false">H$5*(1+A_pore*H$6*($A15/100))/(1-H$6*(1+((1-phimax_pore)/phimax_pore^2)*($A15/100))*($A15/100))</f>
        <v>3.2102853982959</v>
      </c>
      <c r="I15" s="9" t="n">
        <f aca="false">I$5*(1+A_pore*I$6*($A15/100))/(1-I$6*(1+((1-phimax_pore)/phimax_pore^2)*($A15/100))*($A15/100))</f>
        <v>3.22956784732943</v>
      </c>
      <c r="J15" s="9" t="n">
        <f aca="false">J$5*(1+A_pore*J$6*($A15/100))/(1-J$6*(1+((1-phimax_pore)/phimax_pore^2)*($A15/100))*($A15/100))</f>
        <v>3.24930435162645</v>
      </c>
      <c r="K15" s="9" t="n">
        <f aca="false">K$5*(1+A_pore*K$6*($A15/100))/(1-K$6*(1+((1-phimax_pore)/phimax_pore^2)*($A15/100))*($A15/100))</f>
        <v>3.26951132761829</v>
      </c>
      <c r="L15" s="9" t="n">
        <f aca="false">L$5*(1+A_pore*L$6*($A15/100))/(1-L$6*(1+((1-phimax_pore)/phimax_pore^2)*($A15/100))*($A15/100))</f>
        <v>3.29020600076507</v>
      </c>
      <c r="M15" s="9" t="n">
        <f aca="false">M$5*(1+A_pore*M$6*($A15/100))/(1-M$6*(1+((1-phimax_pore)/phimax_pore^2)*($A15/100))*($A15/100))</f>
        <v>3.31140645644567</v>
      </c>
      <c r="N15" s="9" t="n">
        <f aca="false">N$5*(1+A_pore*N$6*($A15/100))/(1-N$6*(1+((1-phimax_pore)/phimax_pore^2)*($A15/100))*($A15/100))</f>
        <v>3.3331316947661</v>
      </c>
      <c r="O15" s="9" t="n">
        <f aca="false">O$5*(1+A_pore*O$6*($A15/100))/(1-O$6*(1+((1-phimax_pore)/phimax_pore^2)*($A15/100))*($A15/100))</f>
        <v>3.35540168964505</v>
      </c>
      <c r="P15" s="9" t="n">
        <f aca="false">P$5*(1+A_pore*P$6*($A15/100))/(1-P$6*(1+((1-phimax_pore)/phimax_pore^2)*($A15/100))*($A15/100))</f>
        <v>3.37823745257348</v>
      </c>
      <c r="Q15" s="9" t="n">
        <f aca="false">Q$5*(1+A_pore*Q$6*($A15/100))/(1-Q$6*(1+((1-phimax_pore)/phimax_pore^2)*($A15/100))*($A15/100))</f>
        <v>3.40166110148823</v>
      </c>
      <c r="R15" s="9" t="n">
        <f aca="false">R$5*(1+A_pore*R$6*($A15/100))/(1-R$6*(1+((1-phimax_pore)/phimax_pore^2)*($A15/100))*($A15/100))</f>
        <v>3.42569593524757</v>
      </c>
      <c r="S15" s="9" t="n">
        <f aca="false">S$5*(1+A_pore*S$6*($A15/100))/(1-S$6*(1+((1-phimax_pore)/phimax_pore^2)*($A15/100))*($A15/100))</f>
        <v>3.45036651425105</v>
      </c>
      <c r="T15" s="9" t="n">
        <f aca="false">T$5*(1+A_pore*T$6*($A15/100))/(1-T$6*(1+((1-phimax_pore)/phimax_pore^2)*($A15/100))*($A15/100))</f>
        <v>3.47569874780713</v>
      </c>
      <c r="U15" s="9" t="n">
        <f aca="false">U$5*(1+A_pore*U$6*($A15/100))/(1-U$6*(1+((1-phimax_pore)/phimax_pore^2)*($A15/100))*($A15/100))</f>
        <v>3.50171998892093</v>
      </c>
      <c r="V15" s="9" t="n">
        <f aca="false">V$5*(1+A_pore*V$6*($A15/100))/(1-V$6*(1+((1-phimax_pore)/phimax_pore^2)*($A15/100))*($A15/100))</f>
        <v>3.52845913725291</v>
      </c>
      <c r="W15" s="9" t="n">
        <f aca="false">W$5*(1+A_pore*W$6*($A15/100))/(1-W$6*(1+((1-phimax_pore)/phimax_pore^2)*($A15/100))*($A15/100))</f>
        <v>3.55594675108744</v>
      </c>
      <c r="X15" s="9" t="n">
        <f aca="false">X$5*(1+A_pore*X$6*($A15/100))/(1-X$6*(1+((1-phimax_pore)/phimax_pore^2)*($A15/100))*($A15/100))</f>
        <v>3.58421516925091</v>
      </c>
      <c r="Y15" s="9" t="n">
        <f aca="false">Y$5*(1+A_pore*Y$6*($A15/100))/(1-Y$6*(1+((1-phimax_pore)/phimax_pore^2)*($A15/100))*($A15/100))</f>
        <v>3.61329864403334</v>
      </c>
      <c r="Z15" s="9" t="n">
        <f aca="false">Z$5*(1+A_pore*Z$6*($A15/100))/(1-Z$6*(1+((1-phimax_pore)/phimax_pore^2)*($A15/100))*($A15/100))</f>
        <v>3.64323348629744</v>
      </c>
      <c r="AA15" s="9" t="n">
        <f aca="false">AA$5*(1+A_pore*AA$6*($A15/100))/(1-AA$6*(1+((1-phimax_pore)/phimax_pore^2)*($A15/100))*($A15/100))</f>
        <v>3.67405822410812</v>
      </c>
      <c r="AB15" s="9" t="n">
        <f aca="false">AB$5*(1+A_pore*AB$6*($A15/100))/(1-AB$6*(1+((1-phimax_pore)/phimax_pore^2)*($A15/100))*($A15/100))</f>
        <v>3.70581377638519</v>
      </c>
      <c r="AC15" s="9" t="n">
        <f aca="false">AC$5*(1+A_pore*AC$6*($A15/100))/(1-AC$6*(1+((1-phimax_pore)/phimax_pore^2)*($A15/100))*($A15/100))</f>
        <v>3.73854364327748</v>
      </c>
      <c r="AD15" s="9" t="n">
        <f aca="false">AD$5*(1+A_pore*AD$6*($A15/100))/(1-AD$6*(1+((1-phimax_pore)/phimax_pore^2)*($A15/100))*($A15/100))</f>
        <v>3.77229411518031</v>
      </c>
      <c r="AE15" s="9" t="n">
        <f aca="false">AE$5*(1+A_pore*AE$6*($A15/100))/(1-AE$6*(1+((1-phimax_pore)/phimax_pore^2)*($A15/100))*($A15/100))</f>
        <v>3.80711450257678</v>
      </c>
      <c r="AF15" s="9" t="n">
        <f aca="false">AF$5*(1+A_pore*AF$6*($A15/100))/(1-AF$6*(1+((1-phimax_pore)/phimax_pore^2)*($A15/100))*($A15/100))</f>
        <v>3.84305738918092</v>
      </c>
      <c r="AG15" s="9" t="n">
        <f aca="false">AG$5*(1+A_pore*AG$6*($A15/100))/(1-AG$6*(1+((1-phimax_pore)/phimax_pore^2)*($A15/100))*($A15/100))</f>
        <v>3.88017891120595</v>
      </c>
      <c r="AH15" s="9" t="n">
        <f aca="false">AH$5*(1+A_pore*AH$6*($A15/100))/(1-AH$6*(1+((1-phimax_pore)/phimax_pore^2)*($A15/100))*($A15/100))</f>
        <v>3.91853906598036</v>
      </c>
      <c r="AI15" s="9" t="n">
        <f aca="false">AI$5*(1+A_pore*AI$6*($A15/100))/(1-AI$6*(1+((1-phimax_pore)/phimax_pore^2)*($A15/100))*($A15/100))</f>
        <v>3.95820205360002</v>
      </c>
      <c r="AJ15" s="9" t="n">
        <f aca="false">AJ$5*(1+A_pore*AJ$6*($A15/100))/(1-AJ$6*(1+((1-phimax_pore)/phimax_pore^2)*($A15/100))*($A15/100))</f>
        <v>3.99923665584643</v>
      </c>
      <c r="AK15" s="9" t="n">
        <f aca="false">AK$5*(1+A_pore*AK$6*($A15/100))/(1-AK$6*(1+((1-phimax_pore)/phimax_pore^2)*($A15/100))*($A15/100))</f>
        <v>4.0417166572357</v>
      </c>
    </row>
    <row r="16" customFormat="false" ht="15" hidden="false" customHeight="false" outlineLevel="0" collapsed="false">
      <c r="A16" s="4" t="n">
        <v>7</v>
      </c>
      <c r="B16" s="9" t="n">
        <f aca="false">B$5*(1+A_pore*B$6*($A16/100))/(1-B$6*(1+((1-phimax_pore)/phimax_pore^2)*($A16/100))*($A16/100))</f>
        <v>3.04509924496974</v>
      </c>
      <c r="C16" s="9" t="n">
        <f aca="false">C$5*(1+A_pore*C$6*($A16/100))/(1-C$6*(1+((1-phimax_pore)/phimax_pore^2)*($A16/100))*($A16/100))</f>
        <v>3.061260588116</v>
      </c>
      <c r="D16" s="9" t="n">
        <f aca="false">D$5*(1+A_pore*D$6*($A16/100))/(1-D$6*(1+((1-phimax_pore)/phimax_pore^2)*($A16/100))*($A16/100))</f>
        <v>3.07777357141727</v>
      </c>
      <c r="E16" s="9" t="n">
        <f aca="false">E$5*(1+A_pore*E$6*($A16/100))/(1-E$6*(1+((1-phimax_pore)/phimax_pore^2)*($A16/100))*($A16/100))</f>
        <v>3.09464993738972</v>
      </c>
      <c r="F16" s="9" t="n">
        <f aca="false">F$5*(1+A_pore*F$6*($A16/100))/(1-F$6*(1+((1-phimax_pore)/phimax_pore^2)*($A16/100))*($A16/100))</f>
        <v>3.11190196285968</v>
      </c>
      <c r="G16" s="9" t="n">
        <f aca="false">G$5*(1+A_pore*G$6*($A16/100))/(1-G$6*(1+((1-phimax_pore)/phimax_pore^2)*($A16/100))*($A16/100))</f>
        <v>3.12954248998572</v>
      </c>
      <c r="H16" s="9" t="n">
        <f aca="false">H$5*(1+A_pore*H$6*($A16/100))/(1-H$6*(1+((1-phimax_pore)/phimax_pore^2)*($A16/100))*($A16/100))</f>
        <v>3.14758495948473</v>
      </c>
      <c r="I16" s="9" t="n">
        <f aca="false">I$5*(1+A_pore*I$6*($A16/100))/(1-I$6*(1+((1-phimax_pore)/phimax_pore^2)*($A16/100))*($A16/100))</f>
        <v>3.1660434462481</v>
      </c>
      <c r="J16" s="9" t="n">
        <f aca="false">J$5*(1+A_pore*J$6*($A16/100))/(1-J$6*(1+((1-phimax_pore)/phimax_pore^2)*($A16/100))*($A16/100))</f>
        <v>3.18493269755231</v>
      </c>
      <c r="K16" s="9" t="n">
        <f aca="false">K$5*(1+A_pore*K$6*($A16/100))/(1-K$6*(1+((1-phimax_pore)/phimax_pore^2)*($A16/100))*($A16/100))</f>
        <v>3.20426817408884</v>
      </c>
      <c r="L16" s="9" t="n">
        <f aca="false">L$5*(1+A_pore*L$6*($A16/100))/(1-L$6*(1+((1-phimax_pore)/phimax_pore^2)*($A16/100))*($A16/100))</f>
        <v>3.22406609406047</v>
      </c>
      <c r="M16" s="9" t="n">
        <f aca="false">M$5*(1+A_pore*M$6*($A16/100))/(1-M$6*(1+((1-phimax_pore)/phimax_pore^2)*($A16/100))*($A16/100))</f>
        <v>3.24434348061701</v>
      </c>
      <c r="N16" s="9" t="n">
        <f aca="false">N$5*(1+A_pore*N$6*($A16/100))/(1-N$6*(1+((1-phimax_pore)/phimax_pore^2)*($A16/100))*($A16/100))</f>
        <v>3.26511821293089</v>
      </c>
      <c r="O16" s="9" t="n">
        <f aca="false">O$5*(1+A_pore*O$6*($A16/100))/(1-O$6*(1+((1-phimax_pore)/phimax_pore^2)*($A16/100))*($A16/100))</f>
        <v>3.2864090812454</v>
      </c>
      <c r="P16" s="9" t="n">
        <f aca="false">P$5*(1+A_pore*P$6*($A16/100))/(1-P$6*(1+((1-phimax_pore)/phimax_pore^2)*($A16/100))*($A16/100))</f>
        <v>3.30823584626312</v>
      </c>
      <c r="Q16" s="9" t="n">
        <f aca="false">Q$5*(1+A_pore*Q$6*($A16/100))/(1-Q$6*(1+((1-phimax_pore)/phimax_pore^2)*($A16/100))*($A16/100))</f>
        <v>3.3306193032822</v>
      </c>
      <c r="R16" s="9" t="n">
        <f aca="false">R$5*(1+A_pore*R$6*($A16/100))/(1-R$6*(1+((1-phimax_pore)/phimax_pore^2)*($A16/100))*($A16/100))</f>
        <v>3.35358135153225</v>
      </c>
      <c r="S16" s="9" t="n">
        <f aca="false">S$5*(1+A_pore*S$6*($A16/100))/(1-S$6*(1+((1-phimax_pore)/phimax_pore^2)*($A16/100))*($A16/100))</f>
        <v>3.37714506921235</v>
      </c>
      <c r="T16" s="9" t="n">
        <f aca="false">T$5*(1+A_pore*T$6*($A16/100))/(1-T$6*(1+((1-phimax_pore)/phimax_pore^2)*($A16/100))*($A16/100))</f>
        <v>3.40133479478959</v>
      </c>
      <c r="U16" s="9" t="n">
        <f aca="false">U$5*(1+A_pore*U$6*($A16/100))/(1-U$6*(1+((1-phimax_pore)/phimax_pore^2)*($A16/100))*($A16/100))</f>
        <v>3.42617621518091</v>
      </c>
      <c r="V16" s="9" t="n">
        <f aca="false">V$5*(1+A_pore*V$6*($A16/100))/(1-V$6*(1+((1-phimax_pore)/phimax_pore^2)*($A16/100))*($A16/100))</f>
        <v>3.45169646151292</v>
      </c>
      <c r="W16" s="9" t="n">
        <f aca="false">W$5*(1+A_pore*W$6*($A16/100))/(1-W$6*(1+((1-phimax_pore)/phimax_pore^2)*($A16/100))*($A16/100))</f>
        <v>3.47792421323622</v>
      </c>
      <c r="X16" s="9" t="n">
        <f aca="false">X$5*(1+A_pore*X$6*($A16/100))/(1-X$6*(1+((1-phimax_pore)/phimax_pore^2)*($A16/100))*($A16/100))</f>
        <v>3.50488981146375</v>
      </c>
      <c r="Y16" s="9" t="n">
        <f aca="false">Y$5*(1+A_pore*Y$6*($A16/100))/(1-Y$6*(1+((1-phimax_pore)/phimax_pore^2)*($A16/100))*($A16/100))</f>
        <v>3.53262538250804</v>
      </c>
      <c r="Z16" s="9" t="n">
        <f aca="false">Z$5*(1+A_pore*Z$6*($A16/100))/(1-Z$6*(1+((1-phimax_pore)/phimax_pore^2)*($A16/100))*($A16/100))</f>
        <v>3.56116497271288</v>
      </c>
      <c r="AA16" s="9" t="n">
        <f aca="false">AA$5*(1+A_pore*AA$6*($A16/100))/(1-AA$6*(1+((1-phimax_pore)/phimax_pore^2)*($A16/100))*($A16/100))</f>
        <v>3.59054469581192</v>
      </c>
      <c r="AB16" s="9" t="n">
        <f aca="false">AB$5*(1+A_pore*AB$6*($A16/100))/(1-AB$6*(1+((1-phimax_pore)/phimax_pore^2)*($A16/100))*($A16/100))</f>
        <v>3.62080289420421</v>
      </c>
      <c r="AC16" s="9" t="n">
        <f aca="false">AC$5*(1+A_pore*AC$6*($A16/100))/(1-AC$6*(1+((1-phimax_pore)/phimax_pore^2)*($A16/100))*($A16/100))</f>
        <v>3.65198031571666</v>
      </c>
      <c r="AD16" s="9" t="n">
        <f aca="false">AD$5*(1+A_pore*AD$6*($A16/100))/(1-AD$6*(1+((1-phimax_pore)/phimax_pore^2)*($A16/100))*($A16/100))</f>
        <v>3.68412030763044</v>
      </c>
      <c r="AE16" s="9" t="n">
        <f aca="false">AE$5*(1+A_pore*AE$6*($A16/100))/(1-AE$6*(1+((1-phimax_pore)/phimax_pore^2)*($A16/100))*($A16/100))</f>
        <v>3.7172690299867</v>
      </c>
      <c r="AF16" s="9" t="n">
        <f aca="false">AF$5*(1+A_pore*AF$6*($A16/100))/(1-AF$6*(1+((1-phimax_pore)/phimax_pore^2)*($A16/100))*($A16/100))</f>
        <v>3.75147569046223</v>
      </c>
      <c r="AG16" s="9" t="n">
        <f aca="false">AG$5*(1+A_pore*AG$6*($A16/100))/(1-AG$6*(1+((1-phimax_pore)/phimax_pore^2)*($A16/100))*($A16/100))</f>
        <v>3.78679280342389</v>
      </c>
      <c r="AH16" s="9" t="n">
        <f aca="false">AH$5*(1+A_pore*AH$6*($A16/100))/(1-AH$6*(1+((1-phimax_pore)/phimax_pore^2)*($A16/100))*($A16/100))</f>
        <v>3.82327647613982</v>
      </c>
      <c r="AI16" s="9" t="n">
        <f aca="false">AI$5*(1+A_pore*AI$6*($A16/100))/(1-AI$6*(1+((1-phimax_pore)/phimax_pore^2)*($A16/100))*($A16/100))</f>
        <v>3.86098672555497</v>
      </c>
      <c r="AJ16" s="9" t="n">
        <f aca="false">AJ$5*(1+A_pore*AJ$6*($A16/100))/(1-AJ$6*(1+((1-phimax_pore)/phimax_pore^2)*($A16/100))*($A16/100))</f>
        <v>3.89998782953892</v>
      </c>
      <c r="AK16" s="9" t="n">
        <f aca="false">AK$5*(1+A_pore*AK$6*($A16/100))/(1-AK$6*(1+((1-phimax_pore)/phimax_pore^2)*($A16/100))*($A16/100))</f>
        <v>3.94034871709921</v>
      </c>
      <c r="AN16" s="7" t="s">
        <v>141</v>
      </c>
    </row>
    <row r="17" customFormat="false" ht="15" hidden="false" customHeight="false" outlineLevel="0" collapsed="false">
      <c r="A17" s="4" t="n">
        <v>8</v>
      </c>
      <c r="B17" s="9" t="n">
        <f aca="false">B$5*(1+A_pore*B$6*($A17/100))/(1-B$6*(1+((1-phimax_pore)/phimax_pore^2)*($A17/100))*($A17/100))</f>
        <v>2.98885950859856</v>
      </c>
      <c r="C17" s="9" t="n">
        <f aca="false">C$5*(1+A_pore*C$6*($A17/100))/(1-C$6*(1+((1-phimax_pore)/phimax_pore^2)*($A17/100))*($A17/100))</f>
        <v>3.00435545570975</v>
      </c>
      <c r="D17" s="9" t="n">
        <f aca="false">D$5*(1+A_pore*D$6*($A17/100))/(1-D$6*(1+((1-phimax_pore)/phimax_pore^2)*($A17/100))*($A17/100))</f>
        <v>3.02018574015571</v>
      </c>
      <c r="E17" s="9" t="n">
        <f aca="false">E$5*(1+A_pore*E$6*($A17/100))/(1-E$6*(1+((1-phimax_pore)/phimax_pore^2)*($A17/100))*($A17/100))</f>
        <v>3.03636144991896</v>
      </c>
      <c r="F17" s="9" t="n">
        <f aca="false">F$5*(1+A_pore*F$6*($A17/100))/(1-F$6*(1+((1-phimax_pore)/phimax_pore^2)*($A17/100))*($A17/100))</f>
        <v>3.05289417474446</v>
      </c>
      <c r="G17" s="9" t="n">
        <f aca="false">G$5*(1+A_pore*G$6*($A17/100))/(1-G$6*(1+((1-phimax_pore)/phimax_pore^2)*($A17/100))*($A17/100))</f>
        <v>3.06979603514817</v>
      </c>
      <c r="H17" s="9" t="n">
        <f aca="false">H$5*(1+A_pore*H$6*($A17/100))/(1-H$6*(1+((1-phimax_pore)/phimax_pore^2)*($A17/100))*($A17/100))</f>
        <v>3.08707971348</v>
      </c>
      <c r="I17" s="9" t="n">
        <f aca="false">I$5*(1+A_pore*I$6*($A17/100))/(1-I$6*(1+((1-phimax_pore)/phimax_pore^2)*($A17/100))*($A17/100))</f>
        <v>3.10475848721407</v>
      </c>
      <c r="J17" s="9" t="n">
        <f aca="false">J$5*(1+A_pore*J$6*($A17/100))/(1-J$6*(1+((1-phimax_pore)/phimax_pore^2)*($A17/100))*($A17/100))</f>
        <v>3.1228462646565</v>
      </c>
      <c r="K17" s="9" t="n">
        <f aca="false">K$5*(1+A_pore*K$6*($A17/100))/(1-K$6*(1+((1-phimax_pore)/phimax_pore^2)*($A17/100))*($A17/100))</f>
        <v>3.14135762327944</v>
      </c>
      <c r="L17" s="9" t="n">
        <f aca="false">L$5*(1+A_pore*L$6*($A17/100))/(1-L$6*(1+((1-phimax_pore)/phimax_pore^2)*($A17/100))*($A17/100))</f>
        <v>3.16030785091149</v>
      </c>
      <c r="M17" s="9" t="n">
        <f aca="false">M$5*(1+A_pore*M$6*($A17/100))/(1-M$6*(1+((1-phimax_pore)/phimax_pore^2)*($A17/100))*($A17/100))</f>
        <v>3.17971299003769</v>
      </c>
      <c r="N17" s="9" t="n">
        <f aca="false">N$5*(1+A_pore*N$6*($A17/100))/(1-N$6*(1+((1-phimax_pore)/phimax_pore^2)*($A17/100))*($A17/100))</f>
        <v>3.19958988548879</v>
      </c>
      <c r="O17" s="9" t="n">
        <f aca="false">O$5*(1+A_pore*O$6*($A17/100))/(1-O$6*(1+((1-phimax_pore)/phimax_pore^2)*($A17/100))*($A17/100))</f>
        <v>3.21995623582868</v>
      </c>
      <c r="P17" s="9" t="n">
        <f aca="false">P$5*(1+A_pore*P$6*($A17/100))/(1-P$6*(1+((1-phimax_pore)/phimax_pore^2)*($A17/100))*($A17/100))</f>
        <v>3.24083064878146</v>
      </c>
      <c r="Q17" s="9" t="n">
        <f aca="false">Q$5*(1+A_pore*Q$6*($A17/100))/(1-Q$6*(1+((1-phimax_pore)/phimax_pore^2)*($A17/100))*($A17/100))</f>
        <v>3.26223270107693</v>
      </c>
      <c r="R17" s="9" t="n">
        <f aca="false">R$5*(1+A_pore*R$6*($A17/100))/(1-R$6*(1+((1-phimax_pore)/phimax_pore^2)*($A17/100))*($A17/100))</f>
        <v>3.28418300313399</v>
      </c>
      <c r="S17" s="9" t="n">
        <f aca="false">S$5*(1+A_pore*S$6*($A17/100))/(1-S$6*(1+((1-phimax_pore)/phimax_pore^2)*($A17/100))*($A17/100))</f>
        <v>3.30670326904852</v>
      </c>
      <c r="T17" s="9" t="n">
        <f aca="false">T$5*(1+A_pore*T$6*($A17/100))/(1-T$6*(1+((1-phimax_pore)/phimax_pore^2)*($A17/100))*($A17/100))</f>
        <v>3.32981639240441</v>
      </c>
      <c r="U17" s="9" t="n">
        <f aca="false">U$5*(1+A_pore*U$6*($A17/100))/(1-U$6*(1+((1-phimax_pore)/phimax_pore^2)*($A17/100))*($A17/100))</f>
        <v>3.35354652848568</v>
      </c>
      <c r="V17" s="9" t="n">
        <f aca="false">V$5*(1+A_pore*V$6*($A17/100))/(1-V$6*(1+((1-phimax_pore)/phimax_pore^2)*($A17/100))*($A17/100))</f>
        <v>3.37791918353472</v>
      </c>
      <c r="W17" s="9" t="n">
        <f aca="false">W$5*(1+A_pore*W$6*($A17/100))/(1-W$6*(1+((1-phimax_pore)/phimax_pore^2)*($A17/100))*($A17/100))</f>
        <v>3.40296131177729</v>
      </c>
      <c r="X17" s="9" t="n">
        <f aca="false">X$5*(1+A_pore*X$6*($A17/100))/(1-X$6*(1+((1-phimax_pore)/phimax_pore^2)*($A17/100))*($A17/100))</f>
        <v>3.42870142102126</v>
      </c>
      <c r="Y17" s="9" t="n">
        <f aca="false">Y$5*(1+A_pore*Y$6*($A17/100))/(1-Y$6*(1+((1-phimax_pore)/phimax_pore^2)*($A17/100))*($A17/100))</f>
        <v>3.45516968773365</v>
      </c>
      <c r="Z17" s="9" t="n">
        <f aca="false">Z$5*(1+A_pore*Z$6*($A17/100))/(1-Z$6*(1+((1-phimax_pore)/phimax_pore^2)*($A17/100))*($A17/100))</f>
        <v>3.48239808261251</v>
      </c>
      <c r="AA17" s="9" t="n">
        <f aca="false">AA$5*(1+A_pore*AA$6*($A17/100))/(1-AA$6*(1+((1-phimax_pore)/phimax_pore^2)*($A17/100))*($A17/100))</f>
        <v>3.51042050779709</v>
      </c>
      <c r="AB17" s="9" t="n">
        <f aca="false">AB$5*(1+A_pore*AB$6*($A17/100))/(1-AB$6*(1+((1-phimax_pore)/phimax_pore^2)*($A17/100))*($A17/100))</f>
        <v>3.53927294700547</v>
      </c>
      <c r="AC17" s="9" t="n">
        <f aca="false">AC$5*(1+A_pore*AC$6*($A17/100))/(1-AC$6*(1+((1-phimax_pore)/phimax_pore^2)*($A17/100))*($A17/100))</f>
        <v>3.56899363005622</v>
      </c>
      <c r="AD17" s="9" t="n">
        <f aca="false">AD$5*(1+A_pore*AD$6*($A17/100))/(1-AD$6*(1+((1-phimax_pore)/phimax_pore^2)*($A17/100))*($A17/100))</f>
        <v>3.59962321342183</v>
      </c>
      <c r="AE17" s="9" t="n">
        <f aca="false">AE$5*(1+A_pore*AE$6*($A17/100))/(1-AE$6*(1+((1-phimax_pore)/phimax_pore^2)*($A17/100))*($A17/100))</f>
        <v>3.63120497868306</v>
      </c>
      <c r="AF17" s="9" t="n">
        <f aca="false">AF$5*(1+A_pore*AF$6*($A17/100))/(1-AF$6*(1+((1-phimax_pore)/phimax_pore^2)*($A17/100))*($A17/100))</f>
        <v>3.66378505100817</v>
      </c>
      <c r="AG17" s="9" t="n">
        <f aca="false">AG$5*(1+A_pore*AG$6*($A17/100))/(1-AG$6*(1+((1-phimax_pore)/phimax_pore^2)*($A17/100))*($A17/100))</f>
        <v>3.69741264007576</v>
      </c>
      <c r="AH17" s="9" t="n">
        <f aca="false">AH$5*(1+A_pore*AH$6*($A17/100))/(1-AH$6*(1+((1-phimax_pore)/phimax_pore^2)*($A17/100))*($A17/100))</f>
        <v>3.73214030620231</v>
      </c>
      <c r="AI17" s="9" t="n">
        <f aca="false">AI$5*(1+A_pore*AI$6*($A17/100))/(1-AI$6*(1+((1-phimax_pore)/phimax_pore^2)*($A17/100))*($A17/100))</f>
        <v>3.76802425483314</v>
      </c>
      <c r="AJ17" s="9" t="n">
        <f aca="false">AJ$5*(1+A_pore*AJ$6*($A17/100))/(1-AJ$6*(1+((1-phimax_pore)/phimax_pore^2)*($A17/100))*($A17/100))</f>
        <v>3.80512466301932</v>
      </c>
      <c r="AK17" s="9" t="n">
        <f aca="false">AK$5*(1+A_pore*AK$6*($A17/100))/(1-AK$6*(1+((1-phimax_pore)/phimax_pore^2)*($A17/100))*($A17/100))</f>
        <v>3.84350604204527</v>
      </c>
      <c r="AN17" s="7" t="s">
        <v>142</v>
      </c>
    </row>
    <row r="18" customFormat="false" ht="15" hidden="false" customHeight="false" outlineLevel="0" collapsed="false">
      <c r="A18" s="4" t="n">
        <v>9</v>
      </c>
      <c r="B18" s="9" t="n">
        <f aca="false">B$5*(1+A_pore*B$6*($A18/100))/(1-B$6*(1+((1-phimax_pore)/phimax_pore^2)*($A18/100))*($A18/100))</f>
        <v>2.93448086531598</v>
      </c>
      <c r="C18" s="9" t="n">
        <f aca="false">C$5*(1+A_pore*C$6*($A18/100))/(1-C$6*(1+((1-phimax_pore)/phimax_pore^2)*($A18/100))*($A18/100))</f>
        <v>2.94934536692965</v>
      </c>
      <c r="D18" s="9" t="n">
        <f aca="false">D$5*(1+A_pore*D$6*($A18/100))/(1-D$6*(1+((1-phimax_pore)/phimax_pore^2)*($A18/100))*($A18/100))</f>
        <v>2.96452798113753</v>
      </c>
      <c r="E18" s="9" t="n">
        <f aca="false">E$5*(1+A_pore*E$6*($A18/100))/(1-E$6*(1+((1-phimax_pore)/phimax_pore^2)*($A18/100))*($A18/100))</f>
        <v>2.98003918845754</v>
      </c>
      <c r="F18" s="9" t="n">
        <f aca="false">F$5*(1+A_pore*F$6*($A18/100))/(1-F$6*(1+((1-phimax_pore)/phimax_pore^2)*($A18/100))*($A18/100))</f>
        <v>2.995889941233</v>
      </c>
      <c r="G18" s="9" t="n">
        <f aca="false">G$5*(1+A_pore*G$6*($A18/100))/(1-G$6*(1+((1-phimax_pore)/phimax_pore^2)*($A18/100))*($A18/100))</f>
        <v>3.01209169080376</v>
      </c>
      <c r="H18" s="9" t="n">
        <f aca="false">H$5*(1+A_pore*H$6*($A18/100))/(1-H$6*(1+((1-phimax_pore)/phimax_pore^2)*($A18/100))*($A18/100))</f>
        <v>3.02865641659583</v>
      </c>
      <c r="I18" s="9" t="n">
        <f aca="false">I$5*(1+A_pore*I$6*($A18/100))/(1-I$6*(1+((1-phimax_pore)/phimax_pore^2)*($A18/100))*($A18/100))</f>
        <v>3.04559665729112</v>
      </c>
      <c r="J18" s="9" t="n">
        <f aca="false">J$5*(1+A_pore*J$6*($A18/100))/(1-J$6*(1+((1-phimax_pore)/phimax_pore^2)*($A18/100))*($A18/100))</f>
        <v>3.06292554425421</v>
      </c>
      <c r="K18" s="9" t="n">
        <f aca="false">K$5*(1+A_pore*K$6*($A18/100))/(1-K$6*(1+((1-phimax_pore)/phimax_pore^2)*($A18/100))*($A18/100))</f>
        <v>3.08065683741097</v>
      </c>
      <c r="L18" s="9" t="n">
        <f aca="false">L$5*(1+A_pore*L$6*($A18/100))/(1-L$6*(1+((1-phimax_pore)/phimax_pore^2)*($A18/100))*($A18/100))</f>
        <v>3.09880496379314</v>
      </c>
      <c r="M18" s="9" t="n">
        <f aca="false">M$5*(1+A_pore*M$6*($A18/100))/(1-M$6*(1+((1-phimax_pore)/phimax_pore^2)*($A18/100))*($A18/100))</f>
        <v>3.117385058985</v>
      </c>
      <c r="N18" s="9" t="n">
        <f aca="false">N$5*(1+A_pore*N$6*($A18/100))/(1-N$6*(1+((1-phimax_pore)/phimax_pore^2)*($A18/100))*($A18/100))</f>
        <v>3.1364130117326</v>
      </c>
      <c r="O18" s="9" t="n">
        <f aca="false">O$5*(1+A_pore*O$6*($A18/100))/(1-O$6*(1+((1-phimax_pore)/phimax_pore^2)*($A18/100))*($A18/100))</f>
        <v>3.15590551200317</v>
      </c>
      <c r="P18" s="9" t="n">
        <f aca="false">P$5*(1+A_pore*P$6*($A18/100))/(1-P$6*(1+((1-phimax_pore)/phimax_pore^2)*($A18/100))*($A18/100))</f>
        <v>3.17588010281294</v>
      </c>
      <c r="Q18" s="9" t="n">
        <f aca="false">Q$5*(1+A_pore*Q$6*($A18/100))/(1-Q$6*(1+((1-phimax_pore)/phimax_pore^2)*($A18/100))*($A18/100))</f>
        <v>3.19635523617586</v>
      </c>
      <c r="R18" s="9" t="n">
        <f aca="false">R$5*(1+A_pore*R$6*($A18/100))/(1-R$6*(1+((1-phimax_pore)/phimax_pore^2)*($A18/100))*($A18/100))</f>
        <v>3.21735033356402</v>
      </c>
      <c r="S18" s="9" t="n">
        <f aca="false">S$5*(1+A_pore*S$6*($A18/100))/(1-S$6*(1+((1-phimax_pore)/phimax_pore^2)*($A18/100))*($A18/100))</f>
        <v>3.23888585131406</v>
      </c>
      <c r="T18" s="9" t="n">
        <f aca="false">T$5*(1+A_pore*T$6*($A18/100))/(1-T$6*(1+((1-phimax_pore)/phimax_pore^2)*($A18/100))*($A18/100))</f>
        <v>3.26098335146243</v>
      </c>
      <c r="U18" s="9" t="n">
        <f aca="false">U$5*(1+A_pore*U$6*($A18/100))/(1-U$6*(1+((1-phimax_pore)/phimax_pore^2)*($A18/100))*($A18/100))</f>
        <v>3.28366557854753</v>
      </c>
      <c r="V18" s="9" t="n">
        <f aca="false">V$5*(1+A_pore*V$6*($A18/100))/(1-V$6*(1+((1-phimax_pore)/phimax_pore^2)*($A18/100))*($A18/100))</f>
        <v>3.30695654297908</v>
      </c>
      <c r="W18" s="9" t="n">
        <f aca="false">W$5*(1+A_pore*W$6*($A18/100))/(1-W$6*(1+((1-phimax_pore)/phimax_pore^2)*($A18/100))*($A18/100))</f>
        <v>3.33088161164532</v>
      </c>
      <c r="X18" s="9" t="n">
        <f aca="false">X$5*(1+A_pore*X$6*($A18/100))/(1-X$6*(1+((1-phimax_pore)/phimax_pore^2)*($A18/100))*($A18/100))</f>
        <v>3.35546760650914</v>
      </c>
      <c r="Y18" s="9" t="n">
        <f aca="false">Y$5*(1+A_pore*Y$6*($A18/100))/(1-Y$6*(1+((1-phimax_pore)/phimax_pore^2)*($A18/100))*($A18/100))</f>
        <v>3.38074291203484</v>
      </c>
      <c r="Z18" s="9" t="n">
        <f aca="false">Z$5*(1+A_pore*Z$6*($A18/100))/(1-Z$6*(1+((1-phimax_pore)/phimax_pore^2)*($A18/100))*($A18/100))</f>
        <v>3.40673759239125</v>
      </c>
      <c r="AA18" s="9" t="n">
        <f aca="false">AA$5*(1+A_pore*AA$6*($A18/100))/(1-AA$6*(1+((1-phimax_pore)/phimax_pore^2)*($A18/100))*($A18/100))</f>
        <v>3.43348351949502</v>
      </c>
      <c r="AB18" s="9" t="n">
        <f aca="false">AB$5*(1+A_pore*AB$6*($A18/100))/(1-AB$6*(1+((1-phimax_pore)/phimax_pore^2)*($A18/100))*($A18/100))</f>
        <v>3.46101451309371</v>
      </c>
      <c r="AC18" s="9" t="n">
        <f aca="false">AC$5*(1+A_pore*AC$6*($A18/100))/(1-AC$6*(1+((1-phimax_pore)/phimax_pore^2)*($A18/100))*($A18/100))</f>
        <v>3.48936649424309</v>
      </c>
      <c r="AD18" s="9" t="n">
        <f aca="false">AD$5*(1+A_pore*AD$6*($A18/100))/(1-AD$6*(1+((1-phimax_pore)/phimax_pore^2)*($A18/100))*($A18/100))</f>
        <v>3.51857765371178</v>
      </c>
      <c r="AE18" s="9" t="n">
        <f aca="false">AE$5*(1+A_pore*AE$6*($A18/100))/(1-AE$6*(1+((1-phimax_pore)/phimax_pore^2)*($A18/100))*($A18/100))</f>
        <v>3.54868863705156</v>
      </c>
      <c r="AF18" s="9" t="n">
        <f aca="false">AF$5*(1+A_pore*AF$6*($A18/100))/(1-AF$6*(1+((1-phimax_pore)/phimax_pore^2)*($A18/100))*($A18/100))</f>
        <v>3.57974274830859</v>
      </c>
      <c r="AG18" s="9" t="n">
        <f aca="false">AG$5*(1+A_pore*AG$6*($A18/100))/(1-AG$6*(1+((1-phimax_pore)/phimax_pore^2)*($A18/100))*($A18/100))</f>
        <v>3.61178617462525</v>
      </c>
      <c r="AH18" s="9" t="n">
        <f aca="false">AH$5*(1+A_pore*AH$6*($A18/100))/(1-AH$6*(1+((1-phimax_pore)/phimax_pore^2)*($A18/100))*($A18/100))</f>
        <v>3.64486823429996</v>
      </c>
      <c r="AI18" s="9" t="n">
        <f aca="false">AI$5*(1+A_pore*AI$6*($A18/100))/(1-AI$6*(1+((1-phimax_pore)/phimax_pore^2)*($A18/100))*($A18/100))</f>
        <v>3.67904165124243</v>
      </c>
      <c r="AJ18" s="9" t="n">
        <f aca="false">AJ$5*(1+A_pore*AJ$6*($A18/100))/(1-AJ$6*(1+((1-phimax_pore)/phimax_pore^2)*($A18/100))*($A18/100))</f>
        <v>3.7143628591926</v>
      </c>
      <c r="AK18" s="9" t="n">
        <f aca="false">AK$5*(1+A_pore*AK$6*($A18/100))/(1-AK$6*(1+((1-phimax_pore)/phimax_pore^2)*($A18/100))*($A18/100))</f>
        <v>3.75089233957593</v>
      </c>
    </row>
    <row r="19" customFormat="false" ht="15" hidden="false" customHeight="false" outlineLevel="0" collapsed="false">
      <c r="A19" s="4" t="n">
        <v>10</v>
      </c>
      <c r="B19" s="9" t="n">
        <f aca="false">B$5*(1+A_pore*B$6*($A19/100))/(1-B$6*(1+((1-phimax_pore)/phimax_pore^2)*($A19/100))*($A19/100))</f>
        <v>2.88187248591982</v>
      </c>
      <c r="C19" s="9" t="n">
        <f aca="false">C$5*(1+A_pore*C$6*($A19/100))/(1-C$6*(1+((1-phimax_pore)/phimax_pore^2)*($A19/100))*($A19/100))</f>
        <v>2.8961372589595</v>
      </c>
      <c r="D19" s="9" t="n">
        <f aca="false">D$5*(1+A_pore*D$6*($A19/100))/(1-D$6*(1+((1-phimax_pore)/phimax_pore^2)*($A19/100))*($A19/100))</f>
        <v>2.91070491345982</v>
      </c>
      <c r="E19" s="9" t="n">
        <f aca="false">E$5*(1+A_pore*E$6*($A19/100))/(1-E$6*(1+((1-phimax_pore)/phimax_pore^2)*($A19/100))*($A19/100))</f>
        <v>2.92558536533418</v>
      </c>
      <c r="F19" s="9" t="n">
        <f aca="false">F$5*(1+A_pore*F$6*($A19/100))/(1-F$6*(1+((1-phimax_pore)/phimax_pore^2)*($A19/100))*($A19/100))</f>
        <v>2.94078897473572</v>
      </c>
      <c r="G19" s="9" t="n">
        <f aca="false">G$5*(1+A_pore*G$6*($A19/100))/(1-G$6*(1+((1-phimax_pore)/phimax_pore^2)*($A19/100))*($A19/100))</f>
        <v>2.9563265715476</v>
      </c>
      <c r="H19" s="9" t="n">
        <f aca="false">H$5*(1+A_pore*H$6*($A19/100))/(1-H$6*(1+((1-phimax_pore)/phimax_pore^2)*($A19/100))*($A19/100))</f>
        <v>2.9722094826688</v>
      </c>
      <c r="I19" s="9" t="n">
        <f aca="false">I$5*(1+A_pore*I$6*($A19/100))/(1-I$6*(1+((1-phimax_pore)/phimax_pore^2)*($A19/100))*($A19/100))</f>
        <v>2.98844956124587</v>
      </c>
      <c r="J19" s="9" t="n">
        <f aca="false">J$5*(1+A_pore*J$6*($A19/100))/(1-J$6*(1+((1-phimax_pore)/phimax_pore^2)*($A19/100))*($A19/100))</f>
        <v>3.00505921801636</v>
      </c>
      <c r="K19" s="9" t="n">
        <f aca="false">K$5*(1+A_pore*K$6*($A19/100))/(1-K$6*(1+((1-phimax_pore)/phimax_pore^2)*($A19/100))*($A19/100))</f>
        <v>3.0220514549454</v>
      </c>
      <c r="L19" s="9" t="n">
        <f aca="false">L$5*(1+A_pore*L$6*($A19/100))/(1-L$6*(1+((1-phimax_pore)/phimax_pore^2)*($A19/100))*($A19/100))</f>
        <v>3.03943990135583</v>
      </c>
      <c r="M19" s="9" t="n">
        <f aca="false">M$5*(1+A_pore*M$6*($A19/100))/(1-M$6*(1+((1-phimax_pore)/phimax_pore^2)*($A19/100))*($A19/100))</f>
        <v>3.05723885277207</v>
      </c>
      <c r="N19" s="9" t="n">
        <f aca="false">N$5*(1+A_pore*N$6*($A19/100))/(1-N$6*(1+((1-phimax_pore)/phimax_pore^2)*($A19/100))*($A19/100))</f>
        <v>3.07546331272104</v>
      </c>
      <c r="O19" s="9" t="n">
        <f aca="false">O$5*(1+A_pore*O$6*($A19/100))/(1-O$6*(1+((1-phimax_pore)/phimax_pore^2)*($A19/100))*($A19/100))</f>
        <v>3.09412903775864</v>
      </c>
      <c r="P19" s="9" t="n">
        <f aca="false">P$5*(1+A_pore*P$6*($A19/100))/(1-P$6*(1+((1-phimax_pore)/phimax_pore^2)*($A19/100))*($A19/100))</f>
        <v>3.11325258601895</v>
      </c>
      <c r="Q19" s="9" t="n">
        <f aca="false">Q$5*(1+A_pore*Q$6*($A19/100))/(1-Q$6*(1+((1-phimax_pore)/phimax_pore^2)*($A19/100))*($A19/100))</f>
        <v>3.13285136961496</v>
      </c>
      <c r="R19" s="9" t="n">
        <f aca="false">R$5*(1+A_pore*R$6*($A19/100))/(1-R$6*(1+((1-phimax_pore)/phimax_pore^2)*($A19/100))*($A19/100))</f>
        <v>3.1529437112559</v>
      </c>
      <c r="S19" s="9" t="n">
        <f aca="false">S$5*(1+A_pore*S$6*($A19/100))/(1-S$6*(1+((1-phimax_pore)/phimax_pore^2)*($A19/100))*($A19/100))</f>
        <v>3.17354890548626</v>
      </c>
      <c r="T19" s="9" t="n">
        <f aca="false">T$5*(1+A_pore*T$6*($A19/100))/(1-T$6*(1+((1-phimax_pore)/phimax_pore^2)*($A19/100))*($A19/100))</f>
        <v>3.19468728499718</v>
      </c>
      <c r="U19" s="9" t="n">
        <f aca="false">U$5*(1+A_pore*U$6*($A19/100))/(1-U$6*(1+((1-phimax_pore)/phimax_pore^2)*($A19/100))*($A19/100))</f>
        <v>3.21638029251246</v>
      </c>
      <c r="V19" s="9" t="n">
        <f aca="false">V$5*(1+A_pore*V$6*($A19/100))/(1-V$6*(1+((1-phimax_pore)/phimax_pore^2)*($A19/100))*($A19/100))</f>
        <v>3.23865055880901</v>
      </c>
      <c r="W19" s="9" t="n">
        <f aca="false">W$5*(1+A_pore*W$6*($A19/100))/(1-W$6*(1+((1-phimax_pore)/phimax_pore^2)*($A19/100))*($A19/100))</f>
        <v>3.26152198749794</v>
      </c>
      <c r="X19" s="9" t="n">
        <f aca="false">X$5*(1+A_pore*X$6*($A19/100))/(1-X$6*(1+((1-phimax_pore)/phimax_pore^2)*($A19/100))*($A19/100))</f>
        <v>3.28501984726655</v>
      </c>
      <c r="Y19" s="9" t="n">
        <f aca="false">Y$5*(1+A_pore*Y$6*($A19/100))/(1-Y$6*(1+((1-phimax_pore)/phimax_pore^2)*($A19/100))*($A19/100))</f>
        <v>3.30917087236689</v>
      </c>
      <c r="Z19" s="9" t="n">
        <f aca="false">Z$5*(1+A_pore*Z$6*($A19/100))/(1-Z$6*(1+((1-phimax_pore)/phimax_pore^2)*($A19/100))*($A19/100))</f>
        <v>3.33400337223286</v>
      </c>
      <c r="AA19" s="9" t="n">
        <f aca="false">AA$5*(1+A_pore*AA$6*($A19/100))/(1-AA$6*(1+((1-phimax_pore)/phimax_pore^2)*($A19/100))*($A19/100))</f>
        <v>3.35954735121842</v>
      </c>
      <c r="AB19" s="9" t="n">
        <f aca="false">AB$5*(1+A_pore*AB$6*($A19/100))/(1-AB$6*(1+((1-phimax_pore)/phimax_pore^2)*($A19/100))*($A19/100))</f>
        <v>3.3858346395757</v>
      </c>
      <c r="AC19" s="9" t="n">
        <f aca="false">AC$5*(1+A_pore*AC$6*($A19/100))/(1-AC$6*(1+((1-phimax_pore)/phimax_pore^2)*($A19/100))*($A19/100))</f>
        <v>3.41289903693648</v>
      </c>
      <c r="AD19" s="9" t="n">
        <f aca="false">AD$5*(1+A_pore*AD$6*($A19/100))/(1-AD$6*(1+((1-phimax_pore)/phimax_pore^2)*($A19/100))*($A19/100))</f>
        <v>3.44077646972704</v>
      </c>
      <c r="AE19" s="9" t="n">
        <f aca="false">AE$5*(1+A_pore*AE$6*($A19/100))/(1-AE$6*(1+((1-phimax_pore)/phimax_pore^2)*($A19/100))*($A19/100))</f>
        <v>3.46950516413738</v>
      </c>
      <c r="AF19" s="9" t="n">
        <f aca="false">AF$5*(1+A_pore*AF$6*($A19/100))/(1-AF$6*(1+((1-phimax_pore)/phimax_pore^2)*($A19/100))*($A19/100))</f>
        <v>3.49912583648738</v>
      </c>
      <c r="AG19" s="9" t="n">
        <f aca="false">AG$5*(1+A_pore*AG$6*($A19/100))/(1-AG$6*(1+((1-phimax_pore)/phimax_pore^2)*($A19/100))*($A19/100))</f>
        <v>3.52968190308765</v>
      </c>
      <c r="AH19" s="9" t="n">
        <f aca="false">AH$5*(1+A_pore*AH$6*($A19/100))/(1-AH$6*(1+((1-phimax_pore)/phimax_pore^2)*($A19/100))*($A19/100))</f>
        <v>3.5612197119895</v>
      </c>
      <c r="AI19" s="9" t="n">
        <f aca="false">AI$5*(1+A_pore*AI$6*($A19/100))/(1-AI$6*(1+((1-phimax_pore)/phimax_pore^2)*($A19/100))*($A19/100))</f>
        <v>3.59378879936332</v>
      </c>
      <c r="AJ19" s="9" t="n">
        <f aca="false">AJ$5*(1+A_pore*AJ$6*($A19/100))/(1-AJ$6*(1+((1-phimax_pore)/phimax_pore^2)*($A19/100))*($A19/100))</f>
        <v>3.62744217364647</v>
      </c>
      <c r="AK19" s="9" t="n">
        <f aca="false">AK$5*(1+A_pore*AK$6*($A19/100))/(1-AK$6*(1+((1-phimax_pore)/phimax_pore^2)*($A19/100))*($A19/100))</f>
        <v>3.66223663107176</v>
      </c>
    </row>
    <row r="20" customFormat="false" ht="15" hidden="false" customHeight="false" outlineLevel="0" collapsed="false">
      <c r="A20" s="4" t="n">
        <v>11</v>
      </c>
      <c r="B20" s="9" t="n">
        <f aca="false">B$5*(1+A_pore*B$6*($A20/100))/(1-B$6*(1+((1-phimax_pore)/phimax_pore^2)*($A20/100))*($A20/100))</f>
        <v>2.8309493570408</v>
      </c>
      <c r="C20" s="9" t="n">
        <f aca="false">C$5*(1+A_pore*C$6*($A20/100))/(1-C$6*(1+((1-phimax_pore)/phimax_pore^2)*($A20/100))*($A20/100))</f>
        <v>2.84464406439272</v>
      </c>
      <c r="D20" s="9" t="n">
        <f aca="false">D$5*(1+A_pore*D$6*($A20/100))/(1-D$6*(1+((1-phimax_pore)/phimax_pore^2)*($A20/100))*($A20/100))</f>
        <v>2.85862733910055</v>
      </c>
      <c r="E20" s="9" t="n">
        <f aca="false">E$5*(1+A_pore*E$6*($A20/100))/(1-E$6*(1+((1-phimax_pore)/phimax_pore^2)*($A20/100))*($A20/100))</f>
        <v>2.87290857156715</v>
      </c>
      <c r="F20" s="9" t="n">
        <f aca="false">F$5*(1+A_pore*F$6*($A20/100))/(1-F$6*(1+((1-phimax_pore)/phimax_pore^2)*($A20/100))*($A20/100))</f>
        <v>2.88749757097117</v>
      </c>
      <c r="G20" s="9" t="n">
        <f aca="false">G$5*(1+A_pore*G$6*($A20/100))/(1-G$6*(1+((1-phimax_pore)/phimax_pore^2)*($A20/100))*($A20/100))</f>
        <v>2.90240458921686</v>
      </c>
      <c r="H20" s="9" t="n">
        <f aca="false">H$5*(1+A_pore*H$6*($A20/100))/(1-H$6*(1+((1-phimax_pore)/phimax_pore^2)*($A20/100))*($A20/100))</f>
        <v>2.91764034656702</v>
      </c>
      <c r="I20" s="9" t="n">
        <f aca="false">I$5*(1+A_pore*I$6*($A20/100))/(1-I$6*(1+((1-phimax_pore)/phimax_pore^2)*($A20/100))*($A20/100))</f>
        <v>2.93321605910002</v>
      </c>
      <c r="J20" s="9" t="n">
        <f aca="false">J$5*(1+A_pore*J$6*($A20/100))/(1-J$6*(1+((1-phimax_pore)/phimax_pore^2)*($A20/100))*($A20/100))</f>
        <v>2.94914346814581</v>
      </c>
      <c r="K20" s="9" t="n">
        <f aca="false">K$5*(1+A_pore*K$6*($A20/100))/(1-K$6*(1+((1-phimax_pore)/phimax_pore^2)*($A20/100))*($A20/100))</f>
        <v>2.96543487187104</v>
      </c>
      <c r="L20" s="9" t="n">
        <f aca="false">L$5*(1+A_pore*L$6*($A20/100))/(1-L$6*(1+((1-phimax_pore)/phimax_pore^2)*($A20/100))*($A20/100))</f>
        <v>2.98210315920053</v>
      </c>
      <c r="M20" s="9" t="n">
        <f aca="false">M$5*(1+A_pore*M$6*($A20/100))/(1-M$6*(1+((1-phimax_pore)/phimax_pore^2)*($A20/100))*($A20/100))</f>
        <v>2.99916184628149</v>
      </c>
      <c r="N20" s="9" t="n">
        <f aca="false">N$5*(1+A_pore*N$6*($A20/100))/(1-N$6*(1+((1-phimax_pore)/phimax_pore^2)*($A20/100))*($A20/100))</f>
        <v>3.01662511571773</v>
      </c>
      <c r="O20" s="9" t="n">
        <f aca="false">O$5*(1+A_pore*O$6*($A20/100))/(1-O$6*(1+((1-phimax_pore)/phimax_pore^2)*($A20/100))*($A20/100))</f>
        <v>3.03450785882561</v>
      </c>
      <c r="P20" s="9" t="n">
        <f aca="false">P$5*(1+A_pore*P$6*($A20/100))/(1-P$6*(1+((1-phimax_pore)/phimax_pore^2)*($A20/100))*($A20/100))</f>
        <v>3.05282572118921</v>
      </c>
      <c r="Q20" s="9" t="n">
        <f aca="false">Q$5*(1+A_pore*Q$6*($A20/100))/(1-Q$6*(1+((1-phimax_pore)/phimax_pore^2)*($A20/100))*($A20/100))</f>
        <v>3.07159515182284</v>
      </c>
      <c r="R20" s="9" t="n">
        <f aca="false">R$5*(1+A_pore*R$6*($A20/100))/(1-R$6*(1+((1-phimax_pore)/phimax_pore^2)*($A20/100))*($A20/100))</f>
        <v>3.09083345628201</v>
      </c>
      <c r="S20" s="9" t="n">
        <f aca="false">S$5*(1+A_pore*S$6*($A20/100))/(1-S$6*(1+((1-phimax_pore)/phimax_pore^2)*($A20/100))*($A20/100))</f>
        <v>3.11055885410212</v>
      </c>
      <c r="T20" s="9" t="n">
        <f aca="false">T$5*(1+A_pore*T$6*($A20/100))/(1-T$6*(1+((1-phimax_pore)/phimax_pore^2)*($A20/100))*($A20/100))</f>
        <v>3.13079054098622</v>
      </c>
      <c r="U20" s="9" t="n">
        <f aca="false">U$5*(1+A_pore*U$6*($A20/100))/(1-U$6*(1+((1-phimax_pore)/phimax_pore^2)*($A20/100))*($A20/100))</f>
        <v>3.15154875621163</v>
      </c>
      <c r="V20" s="9" t="n">
        <f aca="false">V$5*(1+A_pore*V$6*($A20/100))/(1-V$6*(1+((1-phimax_pore)/phimax_pore^2)*($A20/100))*($A20/100))</f>
        <v>3.17285485577926</v>
      </c>
      <c r="W20" s="9" t="n">
        <f aca="false">W$5*(1+A_pore*W$6*($A20/100))/(1-W$6*(1+((1-phimax_pore)/phimax_pore^2)*($A20/100))*($A20/100))</f>
        <v>3.19473139189092</v>
      </c>
      <c r="X20" s="9" t="n">
        <f aca="false">X$5*(1+A_pore*X$6*($A20/100))/(1-X$6*(1+((1-phimax_pore)/phimax_pore^2)*($A20/100))*($A20/100))</f>
        <v>3.21720219940992</v>
      </c>
      <c r="Y20" s="9" t="n">
        <f aca="false">Y$5*(1+A_pore*Y$6*($A20/100))/(1-Y$6*(1+((1-phimax_pore)/phimax_pore^2)*($A20/100))*($A20/100))</f>
        <v>3.24029249003937</v>
      </c>
      <c r="Z20" s="9" t="n">
        <f aca="false">Z$5*(1+A_pore*Z$6*($A20/100))/(1-Z$6*(1+((1-phimax_pore)/phimax_pore^2)*($A20/100))*($A20/100))</f>
        <v>3.2640289550432</v>
      </c>
      <c r="AA20" s="9" t="n">
        <f aca="false">AA$5*(1+A_pore*AA$6*($A20/100))/(1-AA$6*(1+((1-phimax_pore)/phimax_pore^2)*($A20/100))*($A20/100))</f>
        <v>3.28843987743802</v>
      </c>
      <c r="AB20" s="9" t="n">
        <f aca="false">AB$5*(1+A_pore*AB$6*($A20/100))/(1-AB$6*(1+((1-phimax_pore)/phimax_pore^2)*($A20/100))*($A20/100))</f>
        <v>3.31355525470191</v>
      </c>
      <c r="AC20" s="9" t="n">
        <f aca="false">AC$5*(1+A_pore*AC$6*($A20/100))/(1-AC$6*(1+((1-phimax_pore)/phimax_pore^2)*($A20/100))*($A20/100))</f>
        <v>3.33940693318178</v>
      </c>
      <c r="AD20" s="9" t="n">
        <f aca="false">AD$5*(1+A_pore*AD$6*($A20/100))/(1-AD$6*(1+((1-phimax_pore)/phimax_pore^2)*($A20/100))*($A20/100))</f>
        <v>3.36602875553628</v>
      </c>
      <c r="AE20" s="9" t="n">
        <f aca="false">AE$5*(1+A_pore*AE$6*($A20/100))/(1-AE$6*(1+((1-phimax_pore)/phimax_pore^2)*($A20/100))*($A20/100))</f>
        <v>3.39345672273008</v>
      </c>
      <c r="AF20" s="9" t="n">
        <f aca="false">AF$5*(1+A_pore*AF$6*($A20/100))/(1-AF$6*(1+((1-phimax_pore)/phimax_pore^2)*($A20/100))*($A20/100))</f>
        <v>3.42172917230232</v>
      </c>
      <c r="AG20" s="9" t="n">
        <f aca="false">AG$5*(1+A_pore*AG$6*($A20/100))/(1-AG$6*(1+((1-phimax_pore)/phimax_pore^2)*($A20/100))*($A20/100))</f>
        <v>3.45088697487067</v>
      </c>
      <c r="AH20" s="9" t="n">
        <f aca="false">AH$5*(1+A_pore*AH$6*($A20/100))/(1-AH$6*(1+((1-phimax_pore)/phimax_pore^2)*($A20/100))*($A20/100))</f>
        <v>3.48097375111003</v>
      </c>
      <c r="AI20" s="9" t="n">
        <f aca="false">AI$5*(1+A_pore*AI$6*($A20/100))/(1-AI$6*(1+((1-phimax_pore)/phimax_pore^2)*($A20/100))*($A20/100))</f>
        <v>3.5120361117668</v>
      </c>
      <c r="AJ20" s="9" t="n">
        <f aca="false">AJ$5*(1+A_pore*AJ$6*($A20/100))/(1-AJ$6*(1+((1-phimax_pore)/phimax_pore^2)*($A20/100))*($A20/100))</f>
        <v>3.54412392364602</v>
      </c>
      <c r="AK20" s="9" t="n">
        <f aca="false">AK$5*(1+A_pore*AK$6*($A20/100))/(1-AK$6*(1+((1-phimax_pore)/phimax_pore^2)*($A20/100))*($A20/100))</f>
        <v>3.57729060494767</v>
      </c>
    </row>
    <row r="21" customFormat="false" ht="15" hidden="false" customHeight="false" outlineLevel="0" collapsed="false">
      <c r="A21" s="4" t="n">
        <v>12</v>
      </c>
      <c r="B21" s="9" t="n">
        <f aca="false">B$5*(1+A_pore*B$6*($A21/100))/(1-B$6*(1+((1-phimax_pore)/phimax_pore^2)*($A21/100))*($A21/100))</f>
        <v>2.78163182298869</v>
      </c>
      <c r="C21" s="9" t="n">
        <f aca="false">C$5*(1+A_pore*C$6*($A21/100))/(1-C$6*(1+((1-phimax_pore)/phimax_pore^2)*($A21/100))*($A21/100))</f>
        <v>2.7947842360803</v>
      </c>
      <c r="D21" s="9" t="n">
        <f aca="false">D$5*(1+A_pore*D$6*($A21/100))/(1-D$6*(1+((1-phimax_pore)/phimax_pore^2)*($A21/100))*($A21/100))</f>
        <v>2.80821174991665</v>
      </c>
      <c r="E21" s="9" t="n">
        <f aca="false">E$5*(1+A_pore*E$6*($A21/100))/(1-E$6*(1+((1-phimax_pore)/phimax_pore^2)*($A21/100))*($A21/100))</f>
        <v>2.82192326510734</v>
      </c>
      <c r="F21" s="9" t="n">
        <f aca="false">F$5*(1+A_pore*F$6*($A21/100))/(1-F$6*(1+((1-phimax_pore)/phimax_pore^2)*($A21/100))*($A21/100))</f>
        <v>2.83592807749235</v>
      </c>
      <c r="G21" s="9" t="n">
        <f aca="false">G$5*(1+A_pore*G$6*($A21/100))/(1-G$6*(1+((1-phimax_pore)/phimax_pore^2)*($A21/100))*($A21/100))</f>
        <v>2.85023590067694</v>
      </c>
      <c r="H21" s="9" t="n">
        <f aca="false">H$5*(1+A_pore*H$6*($A21/100))/(1-H$6*(1+((1-phimax_pore)/phimax_pore^2)*($A21/100))*($A21/100))</f>
        <v>2.86485689014707</v>
      </c>
      <c r="I21" s="9" t="n">
        <f aca="false">I$5*(1+A_pore*I$6*($A21/100))/(1-I$6*(1+((1-phimax_pore)/phimax_pore^2)*($A21/100))*($A21/100))</f>
        <v>2.87980166909757</v>
      </c>
      <c r="J21" s="9" t="n">
        <f aca="false">J$5*(1+A_pore*J$6*($A21/100))/(1-J$6*(1+((1-phimax_pore)/phimax_pore^2)*($A21/100))*($A21/100))</f>
        <v>2.89508135611823</v>
      </c>
      <c r="K21" s="9" t="n">
        <f aca="false">K$5*(1+A_pore*K$6*($A21/100))/(1-K$6*(1+((1-phimax_pore)/phimax_pore^2)*($A21/100))*($A21/100))</f>
        <v>2.9107075948975</v>
      </c>
      <c r="L21" s="9" t="n">
        <f aca="false">L$5*(1+A_pore*L$6*($A21/100))/(1-L$6*(1+((1-phimax_pore)/phimax_pore^2)*($A21/100))*($A21/100))</f>
        <v>2.92669258611931</v>
      </c>
      <c r="M21" s="9" t="n">
        <f aca="false">M$5*(1+A_pore*M$6*($A21/100))/(1-M$6*(1+((1-phimax_pore)/phimax_pore^2)*($A21/100))*($A21/100))</f>
        <v>2.94304912174644</v>
      </c>
      <c r="N21" s="9" t="n">
        <f aca="false">N$5*(1+A_pore*N$6*($A21/100))/(1-N$6*(1+((1-phimax_pore)/phimax_pore^2)*($A21/100))*($A21/100))</f>
        <v>2.95979062190388</v>
      </c>
      <c r="O21" s="9" t="n">
        <f aca="false">O$5*(1+A_pore*O$6*($A21/100))/(1-O$6*(1+((1-phimax_pore)/phimax_pore^2)*($A21/100))*($A21/100))</f>
        <v>2.97693117459759</v>
      </c>
      <c r="P21" s="9" t="n">
        <f aca="false">P$5*(1+A_pore*P$6*($A21/100))/(1-P$6*(1+((1-phimax_pore)/phimax_pore^2)*($A21/100))*($A21/100))</f>
        <v>2.99448557852954</v>
      </c>
      <c r="Q21" s="9" t="n">
        <f aca="false">Q$5*(1+A_pore*Q$6*($A21/100))/(1-Q$6*(1+((1-phimax_pore)/phimax_pore^2)*($A21/100))*($A21/100))</f>
        <v>3.01246938929731</v>
      </c>
      <c r="R21" s="9" t="n">
        <f aca="false">R$5*(1+A_pore*R$6*($A21/100))/(1-R$6*(1+((1-phimax_pore)/phimax_pore^2)*($A21/100))*($A21/100))</f>
        <v>3.03089896929847</v>
      </c>
      <c r="S21" s="9" t="n">
        <f aca="false">S$5*(1+A_pore*S$6*($A21/100))/(1-S$6*(1+((1-phimax_pore)/phimax_pore^2)*($A21/100))*($A21/100))</f>
        <v>3.04979154169484</v>
      </c>
      <c r="T21" s="9" t="n">
        <f aca="false">T$5*(1+A_pore*T$6*($A21/100))/(1-T$6*(1+((1-phimax_pore)/phimax_pore^2)*($A21/100))*($A21/100))</f>
        <v>3.06916524883216</v>
      </c>
      <c r="U21" s="9" t="n">
        <f aca="false">U$5*(1+A_pore*U$6*($A21/100))/(1-U$6*(1+((1-phimax_pore)/phimax_pore^2)*($A21/100))*($A21/100))</f>
        <v>3.08903921555504</v>
      </c>
      <c r="V21" s="9" t="n">
        <f aca="false">V$5*(1+A_pore*V$6*($A21/100))/(1-V$6*(1+((1-phimax_pore)/phimax_pore^2)*($A21/100))*($A21/100))</f>
        <v>3.10943361790849</v>
      </c>
      <c r="W21" s="9" t="n">
        <f aca="false">W$5*(1+A_pore*W$6*($A21/100))/(1-W$6*(1+((1-phimax_pore)/phimax_pore^2)*($A21/100))*($A21/100))</f>
        <v>3.13036975777463</v>
      </c>
      <c r="X21" s="9" t="n">
        <f aca="false">X$5*(1+A_pore*X$6*($A21/100))/(1-X$6*(1+((1-phimax_pore)/phimax_pore^2)*($A21/100))*($A21/100))</f>
        <v>3.15187014405875</v>
      </c>
      <c r="Y21" s="9" t="n">
        <f aca="false">Y$5*(1+A_pore*Y$6*($A21/100))/(1-Y$6*(1+((1-phimax_pore)/phimax_pore^2)*($A21/100))*($A21/100))</f>
        <v>3.17395858111308</v>
      </c>
      <c r="Z21" s="9" t="n">
        <f aca="false">Z$5*(1+A_pore*Z$6*($A21/100))/(1-Z$6*(1+((1-phimax_pore)/phimax_pore^2)*($A21/100))*($A21/100))</f>
        <v>3.19666026517161</v>
      </c>
      <c r="AA21" s="9" t="n">
        <f aca="false">AA$5*(1+A_pore*AA$6*($A21/100))/(1-AA$6*(1+((1-phimax_pore)/phimax_pore^2)*($A21/100))*($A21/100))</f>
        <v>3.22000188966584</v>
      </c>
      <c r="AB21" s="9" t="n">
        <f aca="false">AB$5*(1+A_pore*AB$6*($A21/100))/(1-AB$6*(1+((1-phimax_pore)/phimax_pore^2)*($A21/100))*($A21/100))</f>
        <v>3.24401176040194</v>
      </c>
      <c r="AC21" s="9" t="n">
        <f aca="false">AC$5*(1+A_pore*AC$6*($A21/100))/(1-AC$6*(1+((1-phimax_pore)/phimax_pore^2)*($A21/100))*($A21/100))</f>
        <v>3.26871992170684</v>
      </c>
      <c r="AD21" s="9" t="n">
        <f aca="false">AD$5*(1+A_pore*AD$6*($A21/100))/(1-AD$6*(1+((1-phimax_pore)/phimax_pore^2)*($A21/100))*($A21/100))</f>
        <v>3.29415829479627</v>
      </c>
      <c r="AE21" s="9" t="n">
        <f aca="false">AE$5*(1+A_pore*AE$6*($A21/100))/(1-AE$6*(1+((1-phimax_pore)/phimax_pore^2)*($A21/100))*($A21/100))</f>
        <v>3.32036082978564</v>
      </c>
      <c r="AF21" s="9" t="n">
        <f aca="false">AF$5*(1+A_pore*AF$6*($A21/100))/(1-AF$6*(1+((1-phimax_pore)/phimax_pore^2)*($A21/100))*($A21/100))</f>
        <v>3.3473636729583</v>
      </c>
      <c r="AG21" s="9" t="n">
        <f aca="false">AG$5*(1+A_pore*AG$6*($A21/100))/(1-AG$6*(1+((1-phimax_pore)/phimax_pore^2)*($A21/100))*($A21/100))</f>
        <v>3.37520535112975</v>
      </c>
      <c r="AH21" s="9" t="n">
        <f aca="false">AH$5*(1+A_pore*AH$6*($A21/100))/(1-AH$6*(1+((1-phimax_pore)/phimax_pore^2)*($A21/100))*($A21/100))</f>
        <v>3.40392697520624</v>
      </c>
      <c r="AI21" s="9" t="n">
        <f aca="false">AI$5*(1+A_pore*AI$6*($A21/100))/(1-AI$6*(1+((1-phimax_pore)/phimax_pore^2)*($A21/100))*($A21/100))</f>
        <v>3.43357246533828</v>
      </c>
      <c r="AJ21" s="9" t="n">
        <f aca="false">AJ$5*(1+A_pore*AJ$6*($A21/100))/(1-AJ$6*(1+((1-phimax_pore)/phimax_pore^2)*($A21/100))*($A21/100))</f>
        <v>3.46418880042211</v>
      </c>
      <c r="AK21" s="9" t="n">
        <f aca="false">AK$5*(1+A_pore*AK$6*($A21/100))/(1-AK$6*(1+((1-phimax_pore)/phimax_pore^2)*($A21/100))*($A21/100))</f>
        <v>3.49582629511382</v>
      </c>
    </row>
    <row r="22" customFormat="false" ht="15" hidden="false" customHeight="false" outlineLevel="0" collapsed="false">
      <c r="A22" s="4" t="n">
        <v>13</v>
      </c>
      <c r="B22" s="9" t="n">
        <f aca="false">B$5*(1+A_pore*B$6*($A22/100))/(1-B$6*(1+((1-phimax_pore)/phimax_pore^2)*($A22/100))*($A22/100))</f>
        <v>2.73384517023698</v>
      </c>
      <c r="C22" s="9" t="n">
        <f aca="false">C$5*(1+A_pore*C$6*($A22/100))/(1-C$6*(1+((1-phimax_pore)/phimax_pore^2)*($A22/100))*($A22/100))</f>
        <v>2.74648131646212</v>
      </c>
      <c r="D22" s="9" t="n">
        <f aca="false">D$5*(1+A_pore*D$6*($A22/100))/(1-D$6*(1+((1-phimax_pore)/phimax_pore^2)*($A22/100))*($A22/100))</f>
        <v>2.75937988107383</v>
      </c>
      <c r="E22" s="9" t="n">
        <f aca="false">E$5*(1+A_pore*E$6*($A22/100))/(1-E$6*(1+((1-phimax_pore)/phimax_pore^2)*($A22/100))*($A22/100))</f>
        <v>2.77254930757268</v>
      </c>
      <c r="F22" s="9" t="n">
        <f aca="false">F$5*(1+A_pore*F$6*($A22/100))/(1-F$6*(1+((1-phimax_pore)/phimax_pore^2)*($A22/100))*($A22/100))</f>
        <v>2.7859984128822</v>
      </c>
      <c r="G22" s="9" t="n">
        <f aca="false">G$5*(1+A_pore*G$6*($A22/100))/(1-G$6*(1+((1-phimax_pore)/phimax_pore^2)*($A22/100))*($A22/100))</f>
        <v>2.79973640858172</v>
      </c>
      <c r="H22" s="9" t="n">
        <f aca="false">H$5*(1+A_pore*H$6*($A22/100))/(1-H$6*(1+((1-phimax_pore)/phimax_pore^2)*($A22/100))*($A22/100))</f>
        <v>2.81377292362555</v>
      </c>
      <c r="I22" s="9" t="n">
        <f aca="false">I$5*(1+A_pore*I$6*($A22/100))/(1-I$6*(1+((1-phimax_pore)/phimax_pore^2)*($A22/100))*($A22/100))</f>
        <v>2.82811802867313</v>
      </c>
      <c r="J22" s="9" t="n">
        <f aca="false">J$5*(1+A_pore*J$6*($A22/100))/(1-J$6*(1+((1-phimax_pore)/phimax_pore^2)*($A22/100))*($A22/100))</f>
        <v>2.84278226216637</v>
      </c>
      <c r="K22" s="9" t="n">
        <f aca="false">K$5*(1+A_pore*K$6*($A22/100))/(1-K$6*(1+((1-phimax_pore)/phimax_pore^2)*($A22/100))*($A22/100))</f>
        <v>2.85777665830425</v>
      </c>
      <c r="L22" s="9" t="n">
        <f aca="false">L$5*(1+A_pore*L$6*($A22/100))/(1-L$6*(1+((1-phimax_pore)/phimax_pore^2)*($A22/100))*($A22/100))</f>
        <v>2.87311277707954</v>
      </c>
      <c r="M22" s="9" t="n">
        <f aca="false">M$5*(1+A_pore*M$6*($A22/100))/(1-M$6*(1+((1-phimax_pore)/phimax_pore^2)*($A22/100))*($A22/100))</f>
        <v>2.88880273655945</v>
      </c>
      <c r="N22" s="9" t="n">
        <f aca="false">N$5*(1+A_pore*N$6*($A22/100))/(1-N$6*(1+((1-phimax_pore)/phimax_pore^2)*($A22/100))*($A22/100))</f>
        <v>2.90485924761063</v>
      </c>
      <c r="O22" s="9" t="n">
        <f aca="false">O$5*(1+A_pore*O$6*($A22/100))/(1-O$6*(1+((1-phimax_pore)/phimax_pore^2)*($A22/100))*($A22/100))</f>
        <v>2.92129565128974</v>
      </c>
      <c r="P22" s="9" t="n">
        <f aca="false">P$5*(1+A_pore*P$6*($A22/100))/(1-P$6*(1+((1-phimax_pore)/phimax_pore^2)*($A22/100))*($A22/100))</f>
        <v>2.93812595914464</v>
      </c>
      <c r="Q22" s="9" t="n">
        <f aca="false">Q$5*(1+A_pore*Q$6*($A22/100))/(1-Q$6*(1+((1-phimax_pore)/phimax_pore^2)*($A22/100))*($A22/100))</f>
        <v>2.95536489669695</v>
      </c>
      <c r="R22" s="9" t="n">
        <f aca="false">R$5*(1+A_pore*R$6*($A22/100))/(1-R$6*(1+((1-phimax_pore)/phimax_pore^2)*($A22/100))*($A22/100))</f>
        <v>2.97302795040686</v>
      </c>
      <c r="S22" s="9" t="n">
        <f aca="false">S$5*(1+A_pore*S$6*($A22/100))/(1-S$6*(1+((1-phimax_pore)/phimax_pore^2)*($A22/100))*($A22/100))</f>
        <v>2.99113141845375</v>
      </c>
      <c r="T22" s="9" t="n">
        <f aca="false">T$5*(1+A_pore*T$6*($A22/100))/(1-T$6*(1+((1-phimax_pore)/phimax_pore^2)*($A22/100))*($A22/100))</f>
        <v>3.00969246570401</v>
      </c>
      <c r="U22" s="9" t="n">
        <f aca="false">U$5*(1+A_pore*U$6*($A22/100))/(1-U$6*(1+((1-phimax_pore)/phimax_pore^2)*($A22/100))*($A22/100))</f>
        <v>3.02872918327942</v>
      </c>
      <c r="V22" s="9" t="n">
        <f aca="false">V$5*(1+A_pore*V$6*($A22/100))/(1-V$6*(1+((1-phimax_pore)/phimax_pore^2)*($A22/100))*($A22/100))</f>
        <v>3.04826065318747</v>
      </c>
      <c r="W22" s="9" t="n">
        <f aca="false">W$5*(1+A_pore*W$6*($A22/100))/(1-W$6*(1+((1-phimax_pore)/phimax_pore^2)*($A22/100))*($A22/100))</f>
        <v>3.06830701852891</v>
      </c>
      <c r="X22" s="9" t="n">
        <f aca="false">X$5*(1+A_pore*X$6*($A22/100))/(1-X$6*(1+((1-phimax_pore)/phimax_pore^2)*($A22/100))*($A22/100))</f>
        <v>3.08888955985937</v>
      </c>
      <c r="Y22" s="9" t="n">
        <f aca="false">Y$5*(1+A_pore*Y$6*($A22/100))/(1-Y$6*(1+((1-phimax_pore)/phimax_pore^2)*($A22/100))*($A22/100))</f>
        <v>3.11003077835177</v>
      </c>
      <c r="Z22" s="9" t="n">
        <f aca="false">Z$5*(1+A_pore*Z$6*($A22/100))/(1-Z$6*(1+((1-phimax_pore)/phimax_pore^2)*($A22/100))*($A22/100))</f>
        <v>3.13175448648572</v>
      </c>
      <c r="AA22" s="9" t="n">
        <f aca="false">AA$5*(1+A_pore*AA$6*($A22/100))/(1-AA$6*(1+((1-phimax_pore)/phimax_pore^2)*($A22/100))*($A22/100))</f>
        <v>3.15408590708106</v>
      </c>
      <c r="AB22" s="9" t="n">
        <f aca="false">AB$5*(1+A_pore*AB$6*($A22/100))/(1-AB$6*(1+((1-phimax_pore)/phimax_pore^2)*($A22/100))*($A22/100))</f>
        <v>3.17705178159652</v>
      </c>
      <c r="AC22" s="9" t="n">
        <f aca="false">AC$5*(1+A_pore*AC$6*($A22/100))/(1-AC$6*(1+((1-phimax_pore)/phimax_pore^2)*($A22/100))*($A22/100))</f>
        <v>3.20068048873373</v>
      </c>
      <c r="AD22" s="9" t="n">
        <f aca="false">AD$5*(1+A_pore*AD$6*($A22/100))/(1-AD$6*(1+((1-phimax_pore)/phimax_pore^2)*($A22/100))*($A22/100))</f>
        <v>3.22500217452351</v>
      </c>
      <c r="AE22" s="9" t="n">
        <f aca="false">AE$5*(1+A_pore*AE$6*($A22/100))/(1-AE$6*(1+((1-phimax_pore)/phimax_pore^2)*($A22/100))*($A22/100))</f>
        <v>3.25004889522933</v>
      </c>
      <c r="AF22" s="9" t="n">
        <f aca="false">AF$5*(1+A_pore*AF$6*($A22/100))/(1-AF$6*(1+((1-phimax_pore)/phimax_pore^2)*($A22/100))*($A22/100))</f>
        <v>3.27585477458424</v>
      </c>
      <c r="AG22" s="9" t="n">
        <f aca="false">AG$5*(1+A_pore*AG$6*($A22/100))/(1-AG$6*(1+((1-phimax_pore)/phimax_pore^2)*($A22/100))*($A22/100))</f>
        <v>3.30245617708858</v>
      </c>
      <c r="AH22" s="9" t="n">
        <f aca="false">AH$5*(1+A_pore*AH$6*($A22/100))/(1-AH$6*(1+((1-phimax_pore)/phimax_pore^2)*($A22/100))*($A22/100))</f>
        <v>3.32989189933959</v>
      </c>
      <c r="AI22" s="9" t="n">
        <f aca="false">AI$5*(1+A_pore*AI$6*($A22/100))/(1-AI$6*(1+((1-phimax_pore)/phimax_pore^2)*($A22/100))*($A22/100))</f>
        <v>3.35820338164801</v>
      </c>
      <c r="AJ22" s="9" t="n">
        <f aca="false">AJ$5*(1+A_pore*AJ$6*($A22/100))/(1-AJ$6*(1+((1-phimax_pore)/phimax_pore^2)*($A22/100))*($A22/100))</f>
        <v>3.38743494252801</v>
      </c>
      <c r="AK22" s="9" t="n">
        <f aca="false">AK$5*(1+A_pore*AK$6*($A22/100))/(1-AK$6*(1+((1-phimax_pore)/phimax_pore^2)*($A22/100))*($A22/100))</f>
        <v>3.41763403903356</v>
      </c>
    </row>
    <row r="23" customFormat="false" ht="15" hidden="false" customHeight="false" outlineLevel="0" collapsed="false">
      <c r="A23" s="4" t="n">
        <v>14</v>
      </c>
      <c r="B23" s="9" t="n">
        <f aca="false">B$5*(1+A_pore*B$6*($A23/100))/(1-B$6*(1+((1-phimax_pore)/phimax_pore^2)*($A23/100))*($A23/100))</f>
        <v>2.68751924998733</v>
      </c>
      <c r="C23" s="9" t="n">
        <f aca="false">C$5*(1+A_pore*C$6*($A23/100))/(1-C$6*(1+((1-phimax_pore)/phimax_pore^2)*($A23/100))*($A23/100))</f>
        <v>2.69966354659777</v>
      </c>
      <c r="D23" s="9" t="n">
        <f aca="false">D$5*(1+A_pore*D$6*($A23/100))/(1-D$6*(1+((1-phimax_pore)/phimax_pore^2)*($A23/100))*($A23/100))</f>
        <v>2.71205830588543</v>
      </c>
      <c r="E23" s="9" t="n">
        <f aca="false">E$5*(1+A_pore*E$6*($A23/100))/(1-E$6*(1+((1-phimax_pore)/phimax_pore^2)*($A23/100))*($A23/100))</f>
        <v>2.72471154419664</v>
      </c>
      <c r="F23" s="9" t="n">
        <f aca="false">F$5*(1+A_pore*F$6*($A23/100))/(1-F$6*(1+((1-phimax_pore)/phimax_pore^2)*($A23/100))*($A23/100))</f>
        <v>2.73763163107082</v>
      </c>
      <c r="G23" s="9" t="n">
        <f aca="false">G$5*(1+A_pore*G$6*($A23/100))/(1-G$6*(1+((1-phimax_pore)/phimax_pore^2)*($A23/100))*($A23/100))</f>
        <v>2.75082730927244</v>
      </c>
      <c r="H23" s="9" t="n">
        <f aca="false">H$5*(1+A_pore*H$6*($A23/100))/(1-H$6*(1+((1-phimax_pore)/phimax_pore^2)*($A23/100))*($A23/100))</f>
        <v>2.76430771622328</v>
      </c>
      <c r="I23" s="9" t="n">
        <f aca="false">I$5*(1+A_pore*I$6*($A23/100))/(1-I$6*(1+((1-phimax_pore)/phimax_pore^2)*($A23/100))*($A23/100))</f>
        <v>2.77808240695207</v>
      </c>
      <c r="J23" s="9" t="n">
        <f aca="false">J$5*(1+A_pore*J$6*($A23/100))/(1-J$6*(1+((1-phimax_pore)/phimax_pore^2)*($A23/100))*($A23/100))</f>
        <v>2.79216137868986</v>
      </c>
      <c r="K23" s="9" t="n">
        <f aca="false">K$5*(1+A_pore*K$6*($A23/100))/(1-K$6*(1+((1-phimax_pore)/phimax_pore^2)*($A23/100))*($A23/100))</f>
        <v>2.80655509725218</v>
      </c>
      <c r="L23" s="9" t="n">
        <f aca="false">L$5*(1+A_pore*L$6*($A23/100))/(1-L$6*(1+((1-phimax_pore)/phimax_pore^2)*($A23/100))*($A23/100))</f>
        <v>2.82127452536345</v>
      </c>
      <c r="M23" s="9" t="n">
        <f aca="false">M$5*(1+A_pore*M$6*($A23/100))/(1-M$6*(1+((1-phimax_pore)/phimax_pore^2)*($A23/100))*($A23/100))</f>
        <v>2.83633115309444</v>
      </c>
      <c r="N23" s="9" t="n">
        <f aca="false">N$5*(1+A_pore*N$6*($A23/100))/(1-N$6*(1+((1-phimax_pore)/phimax_pore^2)*($A23/100))*($A23/100))</f>
        <v>2.85173703060157</v>
      </c>
      <c r="O23" s="9" t="n">
        <f aca="false">O$5*(1+A_pore*O$6*($A23/100))/(1-O$6*(1+((1-phimax_pore)/phimax_pore^2)*($A23/100))*($A23/100))</f>
        <v>2.86750480337635</v>
      </c>
      <c r="P23" s="9" t="n">
        <f aca="false">P$5*(1+A_pore*P$6*($A23/100))/(1-P$6*(1+((1-phimax_pore)/phimax_pore^2)*($A23/100))*($A23/100))</f>
        <v>2.8836477502352</v>
      </c>
      <c r="Q23" s="9" t="n">
        <f aca="false">Q$5*(1+A_pore*Q$6*($A23/100))/(1-Q$6*(1+((1-phimax_pore)/phimax_pore^2)*($A23/100))*($A23/100))</f>
        <v>2.90017982430503</v>
      </c>
      <c r="R23" s="9" t="n">
        <f aca="false">R$5*(1+A_pore*R$6*($A23/100))/(1-R$6*(1+((1-phimax_pore)/phimax_pore^2)*($A23/100))*($A23/100))</f>
        <v>2.91711569728715</v>
      </c>
      <c r="S23" s="9" t="n">
        <f aca="false">S$5*(1+A_pore*S$6*($A23/100))/(1-S$6*(1+((1-phimax_pore)/phimax_pore^2)*($A23/100))*($A23/100))</f>
        <v>2.93447080731382</v>
      </c>
      <c r="T23" s="9" t="n">
        <f aca="false">T$5*(1+A_pore*T$6*($A23/100))/(1-T$6*(1+((1-phimax_pore)/phimax_pore^2)*($A23/100))*($A23/100))</f>
        <v>2.95226141074683</v>
      </c>
      <c r="U23" s="9" t="n">
        <f aca="false">U$5*(1+A_pore*U$6*($A23/100))/(1-U$6*(1+((1-phimax_pore)/phimax_pore^2)*($A23/100))*($A23/100))</f>
        <v>2.97050463830711</v>
      </c>
      <c r="V23" s="9" t="n">
        <f aca="false">V$5*(1+A_pore*V$6*($A23/100))/(1-V$6*(1+((1-phimax_pore)/phimax_pore^2)*($A23/100))*($A23/100))</f>
        <v>2.98921855596954</v>
      </c>
      <c r="W23" s="9" t="n">
        <f aca="false">W$5*(1+A_pore*W$6*($A23/100))/(1-W$6*(1+((1-phimax_pore)/phimax_pore^2)*($A23/100))*($A23/100))</f>
        <v>3.00842223110797</v>
      </c>
      <c r="X23" s="9" t="n">
        <f aca="false">X$5*(1+A_pore*X$6*($A23/100))/(1-X$6*(1+((1-phimax_pore)/phimax_pore^2)*($A23/100))*($A23/100))</f>
        <v>3.02813580443338</v>
      </c>
      <c r="Y23" s="9" t="n">
        <f aca="false">Y$5*(1+A_pore*Y$6*($A23/100))/(1-Y$6*(1+((1-phimax_pore)/phimax_pore^2)*($A23/100))*($A23/100))</f>
        <v>3.04838056833356</v>
      </c>
      <c r="Z23" s="9" t="n">
        <f aca="false">Z$5*(1+A_pore*Z$6*($A23/100))/(1-Z$6*(1+((1-phimax_pore)/phimax_pore^2)*($A23/100))*($A23/100))</f>
        <v>3.06917905229815</v>
      </c>
      <c r="AA23" s="9" t="n">
        <f aca="false">AA$5*(1+A_pore*AA$6*($A23/100))/(1-AA$6*(1+((1-phimax_pore)/phimax_pore^2)*($A23/100))*($A23/100))</f>
        <v>3.0905551161977</v>
      </c>
      <c r="AB23" s="9" t="n">
        <f aca="false">AB$5*(1+A_pore*AB$6*($A23/100))/(1-AB$6*(1+((1-phimax_pore)/phimax_pore^2)*($A23/100))*($A23/100))</f>
        <v>3.11253405228384</v>
      </c>
      <c r="AC23" s="9" t="n">
        <f aca="false">AC$5*(1+A_pore*AC$6*($A23/100))/(1-AC$6*(1+((1-phimax_pore)/phimax_pore^2)*($A23/100))*($A23/100))</f>
        <v>3.13514269688949</v>
      </c>
      <c r="AD23" s="9" t="n">
        <f aca="false">AD$5*(1+A_pore*AD$6*($A23/100))/(1-AD$6*(1+((1-phimax_pore)/phimax_pore^2)*($A23/100))*($A23/100))</f>
        <v>3.15840955293688</v>
      </c>
      <c r="AE23" s="9" t="n">
        <f aca="false">AE$5*(1+A_pore*AE$6*($A23/100))/(1-AE$6*(1+((1-phimax_pore)/phimax_pore^2)*($A23/100))*($A23/100))</f>
        <v>3.18236492450972</v>
      </c>
      <c r="AF23" s="9" t="n">
        <f aca="false">AF$5*(1+A_pore*AF$6*($A23/100))/(1-AF$6*(1+((1-phimax_pore)/phimax_pore^2)*($A23/100))*($A23/100))</f>
        <v>3.20704106491694</v>
      </c>
      <c r="AG23" s="9" t="n">
        <f aca="false">AG$5*(1+A_pore*AG$6*($A23/100))/(1-AG$6*(1+((1-phimax_pore)/phimax_pore^2)*($A23/100))*($A23/100))</f>
        <v>3.23247233987381</v>
      </c>
      <c r="AH23" s="9" t="n">
        <f aca="false">AH$5*(1+A_pore*AH$6*($A23/100))/(1-AH$6*(1+((1-phimax_pore)/phimax_pore^2)*($A23/100))*($A23/100))</f>
        <v>3.25869540765579</v>
      </c>
      <c r="AI23" s="9" t="n">
        <f aca="false">AI$5*(1+A_pore*AI$6*($A23/100))/(1-AI$6*(1+((1-phimax_pore)/phimax_pore^2)*($A23/100))*($A23/100))</f>
        <v>3.28574941834824</v>
      </c>
      <c r="AJ23" s="9" t="n">
        <f aca="false">AJ$5*(1+A_pore*AJ$6*($A23/100))/(1-AJ$6*(1+((1-phimax_pore)/phimax_pore^2)*($A23/100))*($A23/100))</f>
        <v>3.31367623462648</v>
      </c>
      <c r="AK23" s="9" t="n">
        <f aca="false">AK$5*(1+A_pore*AK$6*($A23/100))/(1-AK$6*(1+((1-phimax_pore)/phimax_pore^2)*($A23/100))*($A23/100))</f>
        <v>3.34252067686541</v>
      </c>
    </row>
    <row r="24" customFormat="false" ht="15" hidden="false" customHeight="false" outlineLevel="0" collapsed="false">
      <c r="A24" s="4" t="n">
        <v>15</v>
      </c>
      <c r="B24" s="9" t="n">
        <f aca="false">B$5*(1+A_pore*B$6*($A24/100))/(1-B$6*(1+((1-phimax_pore)/phimax_pore^2)*($A24/100))*($A24/100))</f>
        <v>2.64258813480354</v>
      </c>
      <c r="C24" s="9" t="n">
        <f aca="false">C$5*(1+A_pore*C$6*($A24/100))/(1-C$6*(1+((1-phimax_pore)/phimax_pore^2)*($A24/100))*($A24/100))</f>
        <v>2.6542635106919</v>
      </c>
      <c r="D24" s="9" t="n">
        <f aca="false">D$5*(1+A_pore*D$6*($A24/100))/(1-D$6*(1+((1-phimax_pore)/phimax_pore^2)*($A24/100))*($A24/100))</f>
        <v>2.6661780676485</v>
      </c>
      <c r="E24" s="9" t="n">
        <f aca="false">E$5*(1+A_pore*E$6*($A24/100))/(1-E$6*(1+((1-phimax_pore)/phimax_pore^2)*($A24/100))*($A24/100))</f>
        <v>2.6783394223599</v>
      </c>
      <c r="F24" s="9" t="n">
        <f aca="false">F$5*(1+A_pore*F$6*($A24/100))/(1-F$6*(1+((1-phimax_pore)/phimax_pore^2)*($A24/100))*($A24/100))</f>
        <v>2.69075552591004</v>
      </c>
      <c r="G24" s="9" t="n">
        <f aca="false">G$5*(1+A_pore*G$6*($A24/100))/(1-G$6*(1+((1-phimax_pore)/phimax_pore^2)*($A24/100))*($A24/100))</f>
        <v>2.70343468270282</v>
      </c>
      <c r="H24" s="9" t="n">
        <f aca="false">H$5*(1+A_pore*H$6*($A24/100))/(1-H$6*(1+((1-phimax_pore)/phimax_pore^2)*($A24/100))*($A24/100))</f>
        <v>2.71638557070579</v>
      </c>
      <c r="I24" s="9" t="n">
        <f aca="false">I$5*(1+A_pore*I$6*($A24/100))/(1-I$6*(1+((1-phimax_pore)/phimax_pore^2)*($A24/100))*($A24/100))</f>
        <v>2.72961726312518</v>
      </c>
      <c r="J24" s="9" t="n">
        <f aca="false">J$5*(1+A_pore*J$6*($A24/100))/(1-J$6*(1+((1-phimax_pore)/phimax_pore^2)*($A24/100))*($A24/100))</f>
        <v>2.74313925163332</v>
      </c>
      <c r="K24" s="9" t="n">
        <f aca="false">K$5*(1+A_pore*K$6*($A24/100))/(1-K$6*(1+((1-phimax_pore)/phimax_pore^2)*($A24/100))*($A24/100))</f>
        <v>2.75696147128151</v>
      </c>
      <c r="L24" s="9" t="n">
        <f aca="false">L$5*(1+A_pore*L$6*($A24/100))/(1-L$6*(1+((1-phimax_pore)/phimax_pore^2)*($A24/100))*($A24/100))</f>
        <v>2.77109432724477</v>
      </c>
      <c r="M24" s="9" t="n">
        <f aca="false">M$5*(1+A_pore*M$6*($A24/100))/(1-M$6*(1+((1-phimax_pore)/phimax_pore^2)*($A24/100))*($A24/100))</f>
        <v>2.78554872355963</v>
      </c>
      <c r="N24" s="9" t="n">
        <f aca="false">N$5*(1+A_pore*N$6*($A24/100))/(1-N$6*(1+((1-phimax_pore)/phimax_pore^2)*($A24/100))*($A24/100))</f>
        <v>2.80033609403279</v>
      </c>
      <c r="O24" s="9" t="n">
        <f aca="false">O$5*(1+A_pore*O$6*($A24/100))/(1-O$6*(1+((1-phimax_pore)/phimax_pore^2)*($A24/100))*($A24/100))</f>
        <v>2.8154684355172</v>
      </c>
      <c r="P24" s="9" t="n">
        <f aca="false">P$5*(1+A_pore*P$6*($A24/100))/(1-P$6*(1+((1-phimax_pore)/phimax_pore^2)*($A24/100))*($A24/100))</f>
        <v>2.83095834377251</v>
      </c>
      <c r="Q24" s="9" t="n">
        <f aca="false">Q$5*(1+A_pore*Q$6*($A24/100))/(1-Q$6*(1+((1-phimax_pore)/phimax_pore^2)*($A24/100))*($A24/100))</f>
        <v>2.84681905215053</v>
      </c>
      <c r="R24" s="9" t="n">
        <f aca="false">R$5*(1+A_pore*R$6*($A24/100))/(1-R$6*(1+((1-phimax_pore)/phimax_pore^2)*($A24/100))*($A24/100))</f>
        <v>2.86306447337241</v>
      </c>
      <c r="S24" s="9" t="n">
        <f aca="false">S$5*(1+A_pore*S$6*($A24/100))/(1-S$6*(1+((1-phimax_pore)/phimax_pore^2)*($A24/100))*($A24/100))</f>
        <v>2.87970924469359</v>
      </c>
      <c r="T24" s="9" t="n">
        <f aca="false">T$5*(1+A_pore*T$6*($A24/100))/(1-T$6*(1+((1-phimax_pore)/phimax_pore^2)*($A24/100))*($A24/100))</f>
        <v>2.89676877678598</v>
      </c>
      <c r="U24" s="9" t="n">
        <f aca="false">U$5*(1+A_pore*U$6*($A24/100))/(1-U$6*(1+((1-phimax_pore)/phimax_pore^2)*($A24/100))*($A24/100))</f>
        <v>2.91425930670408</v>
      </c>
      <c r="V24" s="9" t="n">
        <f aca="false">V$5*(1+A_pore*V$6*($A24/100))/(1-V$6*(1+((1-phimax_pore)/phimax_pore^2)*($A24/100))*($A24/100))</f>
        <v>2.93219795534457</v>
      </c>
      <c r="W24" s="9" t="n">
        <f aca="false">W$5*(1+A_pore*W$6*($A24/100))/(1-W$6*(1+((1-phimax_pore)/phimax_pore^2)*($A24/100))*($A24/100))</f>
        <v>2.95060278985633</v>
      </c>
      <c r="X24" s="9" t="n">
        <f aca="false">X$5*(1+A_pore*X$6*($A24/100))/(1-X$6*(1+((1-phimax_pore)/phimax_pore^2)*($A24/100))*($A24/100))</f>
        <v>2.96949289151292</v>
      </c>
      <c r="Y24" s="9" t="n">
        <f aca="false">Y$5*(1+A_pore*Y$6*($A24/100))/(1-Y$6*(1+((1-phimax_pore)/phimax_pore^2)*($A24/100))*($A24/100))</f>
        <v>2.98888842962131</v>
      </c>
      <c r="Z24" s="9" t="n">
        <f aca="false">Z$5*(1+A_pore*Z$6*($A24/100))/(1-Z$6*(1+((1-phimax_pore)/phimax_pore^2)*($A24/100))*($A24/100))</f>
        <v>3.00881074211121</v>
      </c>
      <c r="AA24" s="9" t="n">
        <f aca="false">AA$5*(1+A_pore*AA$6*($A24/100))/(1-AA$6*(1+((1-phimax_pore)/phimax_pore^2)*($A24/100))*($A24/100))</f>
        <v>3.02928242353019</v>
      </c>
      <c r="AB24" s="9" t="n">
        <f aca="false">AB$5*(1+A_pore*AB$6*($A24/100))/(1-AB$6*(1+((1-phimax_pore)/phimax_pore^2)*($A24/100))*($A24/100))</f>
        <v>3.05032742126192</v>
      </c>
      <c r="AC24" s="9" t="n">
        <f aca="false">AC$5*(1+A_pore*AC$6*($A24/100))/(1-AC$6*(1+((1-phimax_pore)/phimax_pore^2)*($A24/100))*($A24/100))</f>
        <v>3.07197114089062</v>
      </c>
      <c r="AD24" s="9" t="n">
        <f aca="false">AD$5*(1+A_pore*AD$6*($A24/100))/(1-AD$6*(1+((1-phimax_pore)/phimax_pore^2)*($A24/100))*($A24/100))</f>
        <v>3.09424056175651</v>
      </c>
      <c r="AE24" s="9" t="n">
        <f aca="false">AE$5*(1+A_pore*AE$6*($A24/100))/(1-AE$6*(1+((1-phimax_pore)/phimax_pore^2)*($A24/100))*($A24/100))</f>
        <v>3.1171643638868</v>
      </c>
      <c r="AF24" s="9" t="n">
        <f aca="false">AF$5*(1+A_pore*AF$6*($A24/100))/(1-AF$6*(1+((1-phimax_pore)/phimax_pore^2)*($A24/100))*($A24/100))</f>
        <v>3.14077306764842</v>
      </c>
      <c r="AG24" s="9" t="n">
        <f aca="false">AG$5*(1+A_pore*AG$6*($A24/100))/(1-AG$6*(1+((1-phimax_pore)/phimax_pore^2)*($A24/100))*($A24/100))</f>
        <v>3.16509918765581</v>
      </c>
      <c r="AH24" s="9" t="n">
        <f aca="false">AH$5*(1+A_pore*AH$6*($A24/100))/(1-AH$6*(1+((1-phimax_pore)/phimax_pore^2)*($A24/100))*($A24/100))</f>
        <v>3.19017740268356</v>
      </c>
      <c r="AI24" s="9" t="n">
        <f aca="false">AI$5*(1+A_pore*AI$6*($A24/100))/(1-AI$6*(1+((1-phimax_pore)/phimax_pore^2)*($A24/100))*($A24/100))</f>
        <v>3.2160447435864</v>
      </c>
      <c r="AJ24" s="9" t="n">
        <f aca="false">AJ$5*(1+A_pore*AJ$6*($A24/100))/(1-AJ$6*(1+((1-phimax_pore)/phimax_pore^2)*($A24/100))*($A24/100))</f>
        <v>3.24274080152276</v>
      </c>
      <c r="AK24" s="9" t="n">
        <f aca="false">AK$5*(1+A_pore*AK$6*($A24/100))/(1-AK$6*(1+((1-phimax_pore)/phimax_pore^2)*($A24/100))*($A24/100))</f>
        <v>3.27030795912235</v>
      </c>
    </row>
    <row r="25" customFormat="false" ht="15" hidden="false" customHeight="false" outlineLevel="0" collapsed="false">
      <c r="A25" s="4" t="n">
        <v>16</v>
      </c>
      <c r="B25" s="9" t="n">
        <f aca="false">B$5*(1+A_pore*B$6*($A25/100))/(1-B$6*(1+((1-phimax_pore)/phimax_pore^2)*($A25/100))*($A25/100))</f>
        <v>2.59898980578045</v>
      </c>
      <c r="C25" s="9" t="n">
        <f aca="false">C$5*(1+A_pore*C$6*($A25/100))/(1-C$6*(1+((1-phimax_pore)/phimax_pore^2)*($A25/100))*($A25/100))</f>
        <v>2.61021781241071</v>
      </c>
      <c r="D25" s="9" t="n">
        <f aca="false">D$5*(1+A_pore*D$6*($A25/100))/(1-D$6*(1+((1-phimax_pore)/phimax_pore^2)*($A25/100))*($A25/100))</f>
        <v>2.621674344595</v>
      </c>
      <c r="E25" s="9" t="n">
        <f aca="false">E$5*(1+A_pore*E$6*($A25/100))/(1-E$6*(1+((1-phimax_pore)/phimax_pore^2)*($A25/100))*($A25/100))</f>
        <v>2.63336664463283</v>
      </c>
      <c r="F25" s="9" t="n">
        <f aca="false">F$5*(1+A_pore*F$6*($A25/100))/(1-F$6*(1+((1-phimax_pore)/phimax_pore^2)*($A25/100))*($A25/100))</f>
        <v>2.64530227173156</v>
      </c>
      <c r="G25" s="9" t="n">
        <f aca="false">G$5*(1+A_pore*G$6*($A25/100))/(1-G$6*(1+((1-phimax_pore)/phimax_pore^2)*($A25/100))*($A25/100))</f>
        <v>2.65748911990237</v>
      </c>
      <c r="H25" s="9" t="n">
        <f aca="false">H$5*(1+A_pore*H$6*($A25/100))/(1-H$6*(1+((1-phimax_pore)/phimax_pore^2)*($A25/100))*($A25/100))</f>
        <v>2.66993543710408</v>
      </c>
      <c r="I25" s="9" t="n">
        <f aca="false">I$5*(1+A_pore*I$6*($A25/100))/(1-I$6*(1+((1-phimax_pore)/phimax_pore^2)*($A25/100))*($A25/100))</f>
        <v>2.68264984573916</v>
      </c>
      <c r="J25" s="9" t="n">
        <f aca="false">J$5*(1+A_pore*J$6*($A25/100))/(1-J$6*(1+((1-phimax_pore)/phimax_pore^2)*($A25/100))*($A25/100))</f>
        <v>2.69564136461613</v>
      </c>
      <c r="K25" s="9" t="n">
        <f aca="false">K$5*(1+A_pore*K$6*($A25/100))/(1-K$6*(1+((1-phimax_pore)/phimax_pore^2)*($A25/100))*($A25/100))</f>
        <v>2.70891943250405</v>
      </c>
      <c r="L25" s="9" t="n">
        <f aca="false">L$5*(1+A_pore*L$6*($A25/100))/(1-L$6*(1+((1-phimax_pore)/phimax_pore^2)*($A25/100))*($A25/100))</f>
        <v>2.72249393341725</v>
      </c>
      <c r="M25" s="9" t="n">
        <f aca="false">M$5*(1+A_pore*M$6*($A25/100))/(1-M$6*(1+((1-phimax_pore)/phimax_pore^2)*($A25/100))*($A25/100))</f>
        <v>2.73637522378264</v>
      </c>
      <c r="N25" s="9" t="n">
        <f aca="false">N$5*(1+A_pore*N$6*($A25/100))/(1-N$6*(1+((1-phimax_pore)/phimax_pore^2)*($A25/100))*($A25/100))</f>
        <v>2.75057416165741</v>
      </c>
      <c r="O25" s="9" t="n">
        <f aca="false">O$5*(1+A_pore*O$6*($A25/100))/(1-O$6*(1+((1-phimax_pore)/phimax_pore^2)*($A25/100))*($A25/100))</f>
        <v>2.76510213818262</v>
      </c>
      <c r="P25" s="9" t="n">
        <f aca="false">P$5*(1+A_pore*P$6*($A25/100))/(1-P$6*(1+((1-phimax_pore)/phimax_pore^2)*($A25/100))*($A25/100))</f>
        <v>2.7799711114778</v>
      </c>
      <c r="Q25" s="9" t="n">
        <f aca="false">Q$5*(1+A_pore*Q$6*($A25/100))/(1-Q$6*(1+((1-phimax_pore)/phimax_pore^2)*($A25/100))*($A25/100))</f>
        <v>2.79519364320358</v>
      </c>
      <c r="R25" s="9" t="n">
        <f aca="false">R$5*(1+A_pore*R$6*($A25/100))/(1-R$6*(1+((1-phimax_pore)/phimax_pore^2)*($A25/100))*($A25/100))</f>
        <v>2.81078293804422</v>
      </c>
      <c r="S25" s="9" t="n">
        <f aca="false">S$5*(1+A_pore*S$6*($A25/100))/(1-S$6*(1+((1-phimax_pore)/phimax_pore^2)*($A25/100))*($A25/100))</f>
        <v>2.8267528863897</v>
      </c>
      <c r="T25" s="9" t="n">
        <f aca="false">T$5*(1+A_pore*T$6*($A25/100))/(1-T$6*(1+((1-phimax_pore)/phimax_pore^2)*($A25/100))*($A25/100))</f>
        <v>2.84311811052839</v>
      </c>
      <c r="U25" s="9" t="n">
        <f aca="false">U$5*(1+A_pore*U$6*($A25/100))/(1-U$6*(1+((1-phimax_pore)/phimax_pore^2)*($A25/100))*($A25/100))</f>
        <v>2.85989401469669</v>
      </c>
      <c r="V25" s="9" t="n">
        <f aca="false">V$5*(1+A_pore*V$6*($A25/100))/(1-V$6*(1+((1-phimax_pore)/phimax_pore^2)*($A25/100))*($A25/100))</f>
        <v>2.87709683937226</v>
      </c>
      <c r="W25" s="9" t="n">
        <f aca="false">W$5*(1+A_pore*W$6*($A25/100))/(1-W$6*(1+((1-phimax_pore)/phimax_pore^2)*($A25/100))*($A25/100))</f>
        <v>2.89474372024254</v>
      </c>
      <c r="X25" s="9" t="n">
        <f aca="false">X$5*(1+A_pore*X$6*($A25/100))/(1-X$6*(1+((1-phimax_pore)/phimax_pore^2)*($A25/100))*($A25/100))</f>
        <v>2.91285275233201</v>
      </c>
      <c r="Y25" s="9" t="n">
        <f aca="false">Y$5*(1+A_pore*Y$6*($A25/100))/(1-Y$6*(1+((1-phimax_pore)/phimax_pore^2)*($A25/100))*($A25/100))</f>
        <v>2.93144305983016</v>
      </c>
      <c r="Z25" s="9" t="n">
        <f aca="false">Z$5*(1+A_pore*Z$6*($A25/100))/(1-Z$6*(1+((1-phimax_pore)/phimax_pore^2)*($A25/100))*($A25/100))</f>
        <v>2.95053487222872</v>
      </c>
      <c r="AA25" s="9" t="n">
        <f aca="false">AA$5*(1+A_pore*AA$6*($A25/100))/(1-AA$6*(1+((1-phimax_pore)/phimax_pore^2)*($A25/100))*($A25/100))</f>
        <v>2.97014960745313</v>
      </c>
      <c r="AB25" s="9" t="n">
        <f aca="false">AB$5*(1+A_pore*AB$6*($A25/100))/(1-AB$6*(1+((1-phimax_pore)/phimax_pore^2)*($A25/100))*($A25/100))</f>
        <v>2.99030996276024</v>
      </c>
      <c r="AC25" s="9" t="n">
        <f aca="false">AC$5*(1+A_pore*AC$6*($A25/100))/(1-AC$6*(1+((1-phimax_pore)/phimax_pore^2)*($A25/100))*($A25/100))</f>
        <v>3.01104001427414</v>
      </c>
      <c r="AD25" s="9" t="n">
        <f aca="false">AD$5*(1+A_pore*AD$6*($A25/100))/(1-AD$6*(1+((1-phimax_pore)/phimax_pore^2)*($A25/100))*($A25/100))</f>
        <v>3.03236532614712</v>
      </c>
      <c r="AE25" s="9" t="n">
        <f aca="false">AE$5*(1+A_pore*AE$6*($A25/100))/(1-AE$6*(1+((1-phimax_pore)/phimax_pore^2)*($A25/100))*($A25/100))</f>
        <v>3.05431307046471</v>
      </c>
      <c r="AF25" s="9" t="n">
        <f aca="false">AF$5*(1+A_pore*AF$6*($A25/100))/(1-AF$6*(1+((1-phimax_pore)/phimax_pore^2)*($A25/100))*($A25/100))</f>
        <v>3.07691215916654</v>
      </c>
      <c r="AG25" s="9" t="n">
        <f aca="false">AG$5*(1+A_pore*AG$6*($A25/100))/(1-AG$6*(1+((1-phimax_pore)/phimax_pore^2)*($A25/100))*($A25/100))</f>
        <v>3.1001933894317</v>
      </c>
      <c r="AH25" s="9" t="n">
        <f aca="false">AH$5*(1+A_pore*AH$6*($A25/100))/(1-AH$6*(1+((1-phimax_pore)/phimax_pore^2)*($A25/100))*($A25/100))</f>
        <v>3.12418960418179</v>
      </c>
      <c r="AI25" s="9" t="n">
        <f aca="false">AI$5*(1+A_pore*AI$6*($A25/100))/(1-AI$6*(1+((1-phimax_pore)/phimax_pore^2)*($A25/100))*($A25/100))</f>
        <v>3.14893586959364</v>
      </c>
      <c r="AJ25" s="9" t="n">
        <f aca="false">AJ$5*(1+A_pore*AJ$6*($A25/100))/(1-AJ$6*(1+((1-phimax_pore)/phimax_pore^2)*($A25/100))*($A25/100))</f>
        <v>3.17446967179151</v>
      </c>
      <c r="AK25" s="9" t="n">
        <f aca="false">AK$5*(1+A_pore*AK$6*($A25/100))/(1-AK$6*(1+((1-phimax_pore)/phimax_pore^2)*($A25/100))*($A25/100))</f>
        <v>3.20083113521381</v>
      </c>
    </row>
    <row r="26" customFormat="false" ht="15" hidden="false" customHeight="false" outlineLevel="0" collapsed="false">
      <c r="A26" s="4" t="n">
        <v>17</v>
      </c>
      <c r="B26" s="9" t="n">
        <f aca="false">B$5*(1+A_pore*B$6*($A26/100))/(1-B$6*(1+((1-phimax_pore)/phimax_pore^2)*($A26/100))*($A26/100))</f>
        <v>2.55666586712589</v>
      </c>
      <c r="C26" s="9" t="n">
        <f aca="false">C$5*(1+A_pore*C$6*($A26/100))/(1-C$6*(1+((1-phimax_pore)/phimax_pore^2)*($A26/100))*($A26/100))</f>
        <v>2.56746677972131</v>
      </c>
      <c r="D26" s="9" t="n">
        <f aca="false">D$5*(1+A_pore*D$6*($A26/100))/(1-D$6*(1+((1-phimax_pore)/phimax_pore^2)*($A26/100))*($A26/100))</f>
        <v>2.57848614453427</v>
      </c>
      <c r="E26" s="9" t="n">
        <f aca="false">E$5*(1+A_pore*E$6*($A26/100))/(1-E$6*(1+((1-phimax_pore)/phimax_pore^2)*($A26/100))*($A26/100))</f>
        <v>2.58973085274039</v>
      </c>
      <c r="F26" s="9" t="n">
        <f aca="false">F$5*(1+A_pore*F$6*($A26/100))/(1-F$6*(1+((1-phimax_pore)/phimax_pore^2)*($A26/100))*($A26/100))</f>
        <v>2.60120809612538</v>
      </c>
      <c r="G26" s="9" t="n">
        <f aca="false">G$5*(1+A_pore*G$6*($A26/100))/(1-G$6*(1+((1-phimax_pore)/phimax_pore^2)*($A26/100))*($A26/100))</f>
        <v>2.61292538402906</v>
      </c>
      <c r="H26" s="9" t="n">
        <f aca="false">H$5*(1+A_pore*H$6*($A26/100))/(1-H$6*(1+((1-phimax_pore)/phimax_pore^2)*($A26/100))*($A26/100))</f>
        <v>2.62489056146976</v>
      </c>
      <c r="I26" s="9" t="n">
        <f aca="false">I$5*(1+A_pore*I$6*($A26/100))/(1-I$6*(1+((1-phimax_pore)/phimax_pore^2)*($A26/100))*($A26/100))</f>
        <v>2.63711182854771</v>
      </c>
      <c r="J26" s="9" t="n">
        <f aca="false">J$5*(1+A_pore*J$6*($A26/100))/(1-J$6*(1+((1-phimax_pore)/phimax_pore^2)*($A26/100))*($A26/100))</f>
        <v>2.64959776123547</v>
      </c>
      <c r="K26" s="9" t="n">
        <f aca="false">K$5*(1+A_pore*K$6*($A26/100))/(1-K$6*(1+((1-phimax_pore)/phimax_pore^2)*($A26/100))*($A26/100))</f>
        <v>2.66235733367421</v>
      </c>
      <c r="L26" s="9" t="n">
        <f aca="false">L$5*(1+A_pore*L$6*($A26/100))/(1-L$6*(1+((1-phimax_pore)/phimax_pore^2)*($A26/100))*($A26/100))</f>
        <v>2.67539994210654</v>
      </c>
      <c r="M26" s="9" t="n">
        <f aca="false">M$5*(1+A_pore*M$6*($A26/100))/(1-M$6*(1+((1-phimax_pore)/phimax_pore^2)*($A26/100))*($A26/100))</f>
        <v>2.68873543058989</v>
      </c>
      <c r="N26" s="9" t="n">
        <f aca="false">N$5*(1+A_pore*N$6*($A26/100))/(1-N$6*(1+((1-phimax_pore)/phimax_pore^2)*($A26/100))*($A26/100))</f>
        <v>2.70237411864914</v>
      </c>
      <c r="O26" s="9" t="n">
        <f aca="false">O$5*(1+A_pore*O$6*($A26/100))/(1-O$6*(1+((1-phimax_pore)/phimax_pore^2)*($A26/100))*($A26/100))</f>
        <v>2.71632683104402</v>
      </c>
      <c r="P26" s="9" t="n">
        <f aca="false">P$5*(1+A_pore*P$6*($A26/100))/(1-P$6*(1+((1-phimax_pore)/phimax_pore^2)*($A26/100))*($A26/100))</f>
        <v>2.7306049298451</v>
      </c>
      <c r="Q26" s="9" t="n">
        <f aca="false">Q$5*(1+A_pore*Q$6*($A26/100))/(1-Q$6*(1+((1-phimax_pore)/phimax_pore^2)*($A26/100))*($A26/100))</f>
        <v>2.7452203490332</v>
      </c>
      <c r="R26" s="9" t="n">
        <f aca="false">R$5*(1+A_pore*R$6*($A26/100))/(1-R$6*(1+((1-phimax_pore)/phimax_pore^2)*($A26/100))*($A26/100))</f>
        <v>2.76018563186034</v>
      </c>
      <c r="S26" s="9" t="n">
        <f aca="false">S$5*(1+A_pore*S$6*($A26/100))/(1-S$6*(1+((1-phimax_pore)/phimax_pore^2)*($A26/100))*($A26/100))</f>
        <v>2.77551397123675</v>
      </c>
      <c r="T26" s="9" t="n">
        <f aca="false">T$5*(1+A_pore*T$6*($A26/100))/(1-T$6*(1+((1-phimax_pore)/phimax_pore^2)*($A26/100))*($A26/100))</f>
        <v>2.79121925343812</v>
      </c>
      <c r="U26" s="9" t="n">
        <f aca="false">U$5*(1+A_pore*U$6*($A26/100))/(1-U$6*(1+((1-phimax_pore)/phimax_pore^2)*($A26/100))*($A26/100))</f>
        <v>2.80731610546073</v>
      </c>
      <c r="V26" s="9" t="n">
        <f aca="false">V$5*(1+A_pore*V$6*($A26/100))/(1-V$6*(1+((1-phimax_pore)/phimax_pore^2)*($A26/100))*($A26/100))</f>
        <v>2.82381994638998</v>
      </c>
      <c r="W26" s="9" t="n">
        <f aca="false">W$5*(1+A_pore*W$6*($A26/100))/(1-W$6*(1+((1-phimax_pore)/phimax_pore^2)*($A26/100))*($A26/100))</f>
        <v>2.84074704319089</v>
      </c>
      <c r="X26" s="9" t="n">
        <f aca="false">X$5*(1+A_pore*X$6*($A26/100))/(1-X$6*(1+((1-phimax_pore)/phimax_pore^2)*($A26/100))*($A26/100))</f>
        <v>2.8581145713777</v>
      </c>
      <c r="Y26" s="9" t="n">
        <f aca="false">Y$5*(1+A_pore*Y$6*($A26/100))/(1-Y$6*(1+((1-phimax_pore)/phimax_pore^2)*($A26/100))*($A26/100))</f>
        <v>2.87594068107534</v>
      </c>
      <c r="Z26" s="9" t="n">
        <f aca="false">Z$5*(1+A_pore*Z$6*($A26/100))/(1-Z$6*(1+((1-phimax_pore)/phimax_pore^2)*($A26/100))*($A26/100))</f>
        <v>2.89424456904836</v>
      </c>
      <c r="AA26" s="9" t="n">
        <f aca="false">AA$5*(1+A_pore*AA$6*($A26/100))/(1-AA$6*(1+((1-phimax_pore)/phimax_pore^2)*($A26/100))*($A26/100))</f>
        <v>2.91304655734538</v>
      </c>
      <c r="AB26" s="9" t="n">
        <f aca="false">AB$5*(1+A_pore*AB$6*($A26/100))/(1-AB$6*(1+((1-phimax_pore)/phimax_pore^2)*($A26/100))*($A26/100))</f>
        <v>2.93236817928943</v>
      </c>
      <c r="AC26" s="9" t="n">
        <f aca="false">AC$5*(1+A_pore*AC$6*($A26/100))/(1-AC$6*(1+((1-phimax_pore)/phimax_pore^2)*($A26/100))*($A26/100))</f>
        <v>2.95223227363908</v>
      </c>
      <c r="AD26" s="9" t="n">
        <f aca="false">AD$5*(1+A_pore*AD$6*($A26/100))/(1-AD$6*(1+((1-phimax_pore)/phimax_pore^2)*($A26/100))*($A26/100))</f>
        <v>2.97266308785412</v>
      </c>
      <c r="AE26" s="9" t="n">
        <f aca="false">AE$5*(1+A_pore*AE$6*($A26/100))/(1-AE$6*(1+((1-phimax_pore)/phimax_pore^2)*($A26/100))*($A26/100))</f>
        <v>2.99368639152467</v>
      </c>
      <c r="AF26" s="9" t="n">
        <f aca="false">AF$5*(1+A_pore*AF$6*($A26/100))/(1-AF$6*(1+((1-phimax_pore)/phimax_pore^2)*($A26/100))*($A26/100))</f>
        <v>3.01532960116712</v>
      </c>
      <c r="AG26" s="9" t="n">
        <f aca="false">AG$5*(1+A_pore*AG$6*($A26/100))/(1-AG$6*(1+((1-phimax_pore)/phimax_pore^2)*($A26/100))*($A26/100))</f>
        <v>3.03762191775757</v>
      </c>
      <c r="AH26" s="9" t="n">
        <f aca="false">AH$5*(1+A_pore*AH$6*($A26/100))/(1-AH$6*(1+((1-phimax_pore)/phimax_pore^2)*($A26/100))*($A26/100))</f>
        <v>3.06059447856757</v>
      </c>
      <c r="AI26" s="9" t="n">
        <f aca="false">AI$5*(1+A_pore*AI$6*($A26/100))/(1-AI$6*(1+((1-phimax_pore)/phimax_pore^2)*($A26/100))*($A26/100))</f>
        <v>3.08428052509243</v>
      </c>
      <c r="AJ26" s="9" t="n">
        <f aca="false">AJ$5*(1+A_pore*AJ$6*($A26/100))/(1-AJ$6*(1+((1-phimax_pore)/phimax_pore^2)*($A26/100))*($A26/100))</f>
        <v>3.10871558912611</v>
      </c>
      <c r="AK26" s="9" t="n">
        <f aca="false">AK$5*(1+A_pore*AK$6*($A26/100))/(1-AK$6*(1+((1-phimax_pore)/phimax_pore^2)*($A26/100))*($A26/100))</f>
        <v>3.13393769934389</v>
      </c>
    </row>
    <row r="27" customFormat="false" ht="15" hidden="false" customHeight="false" outlineLevel="0" collapsed="false">
      <c r="A27" s="4" t="n">
        <v>18</v>
      </c>
      <c r="B27" s="9" t="n">
        <f aca="false">B$5*(1+A_pore*B$6*($A27/100))/(1-B$6*(1+((1-phimax_pore)/phimax_pore^2)*($A27/100))*($A27/100))</f>
        <v>2.51556128539369</v>
      </c>
      <c r="C27" s="9" t="n">
        <f aca="false">C$5*(1+A_pore*C$6*($A27/100))/(1-C$6*(1+((1-phimax_pore)/phimax_pore^2)*($A27/100))*($A27/100))</f>
        <v>2.52595419536393</v>
      </c>
      <c r="D27" s="9" t="n">
        <f aca="false">D$5*(1+A_pore*D$6*($A27/100))/(1-D$6*(1+((1-phimax_pore)/phimax_pore^2)*($A27/100))*($A27/100))</f>
        <v>2.53655602616172</v>
      </c>
      <c r="E27" s="9" t="n">
        <f aca="false">E$5*(1+A_pore*E$6*($A27/100))/(1-E$6*(1+((1-phimax_pore)/phimax_pore^2)*($A27/100))*($A27/100))</f>
        <v>2.54737333928139</v>
      </c>
      <c r="F27" s="9" t="n">
        <f aca="false">F$5*(1+A_pore*F$6*($A27/100))/(1-F$6*(1+((1-phimax_pore)/phimax_pore^2)*($A27/100))*($A27/100))</f>
        <v>2.55841298161865</v>
      </c>
      <c r="G27" s="9" t="n">
        <f aca="false">G$5*(1+A_pore*G$6*($A27/100))/(1-G$6*(1+((1-phimax_pore)/phimax_pore^2)*($A27/100))*($A27/100))</f>
        <v>2.56968210153044</v>
      </c>
      <c r="H27" s="9" t="n">
        <f aca="false">H$5*(1+A_pore*H$6*($A27/100))/(1-H$6*(1+((1-phimax_pore)/phimax_pore^2)*($A27/100))*($A27/100))</f>
        <v>2.58118816601275</v>
      </c>
      <c r="I27" s="9" t="n">
        <f aca="false">I$5*(1+A_pore*I$6*($A27/100))/(1-I$6*(1+((1-phimax_pore)/phimax_pore^2)*($A27/100))*($A27/100))</f>
        <v>2.59293897908972</v>
      </c>
      <c r="J27" s="9" t="n">
        <f aca="false">J$5*(1+A_pore*J$6*($A27/100))/(1-J$6*(1+((1-phimax_pore)/phimax_pore^2)*($A27/100))*($A27/100))</f>
        <v>2.60494270151635</v>
      </c>
      <c r="K27" s="9" t="n">
        <f aca="false">K$5*(1+A_pore*K$6*($A27/100))/(1-K$6*(1+((1-phimax_pore)/phimax_pore^2)*($A27/100))*($A27/100))</f>
        <v>2.61720787190728</v>
      </c>
      <c r="L27" s="9" t="n">
        <f aca="false">L$5*(1+A_pore*L$6*($A27/100))/(1-L$6*(1+((1-phimax_pore)/phimax_pore^2)*($A27/100))*($A27/100))</f>
        <v>2.62974342941552</v>
      </c>
      <c r="M27" s="9" t="n">
        <f aca="false">M$5*(1+A_pore*M$6*($A27/100))/(1-M$6*(1+((1-phimax_pore)/phimax_pore^2)*($A27/100))*($A27/100))</f>
        <v>2.64255873809734</v>
      </c>
      <c r="N27" s="9" t="n">
        <f aca="false">N$5*(1+A_pore*N$6*($A27/100))/(1-N$6*(1+((1-phimax_pore)/phimax_pore^2)*($A27/100))*($A27/100))</f>
        <v>2.65566361311376</v>
      </c>
      <c r="O27" s="9" t="n">
        <f aca="false">O$5*(1+A_pore*O$6*($A27/100))/(1-O$6*(1+((1-phimax_pore)/phimax_pore^2)*($A27/100))*($A27/100))</f>
        <v>2.66906834893471</v>
      </c>
      <c r="P27" s="9" t="n">
        <f aca="false">P$5*(1+A_pore*P$6*($A27/100))/(1-P$6*(1+((1-phimax_pore)/phimax_pore^2)*($A27/100))*($A27/100))</f>
        <v>2.68278374972953</v>
      </c>
      <c r="Q27" s="9" t="n">
        <f aca="false">Q$5*(1+A_pore*Q$6*($A27/100))/(1-Q$6*(1+((1-phimax_pore)/phimax_pore^2)*($A27/100))*($A27/100))</f>
        <v>2.69682116214721</v>
      </c>
      <c r="R27" s="9" t="n">
        <f aca="false">R$5*(1+A_pore*R$6*($A27/100))/(1-R$6*(1+((1-phimax_pore)/phimax_pore^2)*($A27/100))*($A27/100))</f>
        <v>2.71119251071194</v>
      </c>
      <c r="S27" s="9" t="n">
        <f aca="false">S$5*(1+A_pore*S$6*($A27/100))/(1-S$6*(1+((1-phimax_pore)/phimax_pore^2)*($A27/100))*($A27/100))</f>
        <v>2.72591033608445</v>
      </c>
      <c r="T27" s="9" t="n">
        <f aca="false">T$5*(1+A_pore*T$6*($A27/100))/(1-T$6*(1+((1-phimax_pore)/phimax_pore^2)*($A27/100))*($A27/100))</f>
        <v>2.74098783646774</v>
      </c>
      <c r="U27" s="9" t="n">
        <f aca="false">U$5*(1+A_pore*U$6*($A27/100))/(1-U$6*(1+((1-phimax_pore)/phimax_pore^2)*($A27/100))*($A27/100))</f>
        <v>2.75643891246768</v>
      </c>
      <c r="V27" s="9" t="n">
        <f aca="false">V$5*(1+A_pore*V$6*($A27/100))/(1-V$6*(1+((1-phimax_pore)/phimax_pore^2)*($A27/100))*($A27/100))</f>
        <v>2.77227821575458</v>
      </c>
      <c r="W27" s="9" t="n">
        <f aca="false">W$5*(1+A_pore*W$6*($A27/100))/(1-W$6*(1+((1-phimax_pore)/phimax_pore^2)*($A27/100))*($A27/100))</f>
        <v>2.78852120191274</v>
      </c>
      <c r="X27" s="9" t="n">
        <f aca="false">X$5*(1+A_pore*X$6*($A27/100))/(1-X$6*(1+((1-phimax_pore)/phimax_pore^2)*($A27/100))*($A27/100))</f>
        <v>2.80518418791121</v>
      </c>
      <c r="Y27" s="9" t="n">
        <f aca="false">Y$5*(1+A_pore*Y$6*($A27/100))/(1-Y$6*(1+((1-phimax_pore)/phimax_pore^2)*($A27/100))*($A27/100))</f>
        <v>2.82228441468117</v>
      </c>
      <c r="Z27" s="9" t="n">
        <f aca="false">Z$5*(1+A_pore*Z$6*($A27/100))/(1-Z$6*(1+((1-phimax_pore)/phimax_pore^2)*($A27/100))*($A27/100))</f>
        <v>2.8398401153457</v>
      </c>
      <c r="AA27" s="9" t="n">
        <f aca="false">AA$5*(1+A_pore*AA$6*($A27/100))/(1-AA$6*(1+((1-phimax_pore)/phimax_pore^2)*($A27/100))*($A27/100))</f>
        <v>2.85787058971553</v>
      </c>
      <c r="AB27" s="9" t="n">
        <f aca="false">AB$5*(1+A_pore*AB$6*($A27/100))/(1-AB$6*(1+((1-phimax_pore)/phimax_pore^2)*($A27/100))*($A27/100))</f>
        <v>2.87639628574298</v>
      </c>
      <c r="AC27" s="9" t="n">
        <f aca="false">AC$5*(1+A_pore*AC$6*($A27/100))/(1-AC$6*(1+((1-phimax_pore)/phimax_pore^2)*($A27/100))*($A27/100))</f>
        <v>2.89543888871566</v>
      </c>
      <c r="AD27" s="9" t="n">
        <f aca="false">AD$5*(1+A_pore*AD$6*($A27/100))/(1-AD$6*(1+((1-phimax_pore)/phimax_pore^2)*($A27/100))*($A27/100))</f>
        <v>2.91502141907477</v>
      </c>
      <c r="AE27" s="9" t="n">
        <f aca="false">AE$5*(1+A_pore*AE$6*($A27/100))/(1-AE$6*(1+((1-phimax_pore)/phimax_pore^2)*($A27/100))*($A27/100))</f>
        <v>2.93516833986133</v>
      </c>
      <c r="AF27" s="9" t="n">
        <f aca="false">AF$5*(1+A_pore*AF$6*($A27/100))/(1-AF$6*(1+((1-phimax_pore)/phimax_pore^2)*($A27/100))*($A27/100))</f>
        <v>2.95590567493095</v>
      </c>
      <c r="AG27" s="9" t="n">
        <f aca="false">AG$5*(1+A_pore*AG$6*($A27/100))/(1-AG$6*(1+((1-phimax_pore)/phimax_pore^2)*($A27/100))*($A27/100))</f>
        <v>2.97726113923596</v>
      </c>
      <c r="AH27" s="9" t="n">
        <f aca="false">AH$5*(1+A_pore*AH$6*($A27/100))/(1-AH$6*(1+((1-phimax_pore)/phimax_pore^2)*($A27/100))*($A27/100))</f>
        <v>2.99926428265813</v>
      </c>
      <c r="AI27" s="9" t="n">
        <f aca="false">AI$5*(1+A_pore*AI$6*($A27/100))/(1-AI$6*(1+((1-phimax_pore)/phimax_pore^2)*($A27/100))*($A27/100))</f>
        <v>3.02194664908899</v>
      </c>
      <c r="AJ27" s="9" t="n">
        <f aca="false">AJ$5*(1+A_pore*AJ$6*($A27/100))/(1-AJ$6*(1+((1-phimax_pore)/phimax_pore^2)*($A27/100))*($A27/100))</f>
        <v>3.04534195270444</v>
      </c>
      <c r="AK27" s="9" t="n">
        <f aca="false">AK$5*(1+A_pore*AK$6*($A27/100))/(1-AK$6*(1+((1-phimax_pore)/phimax_pore^2)*($A27/100))*($A27/100))</f>
        <v>3.06948627367237</v>
      </c>
    </row>
    <row r="28" customFormat="false" ht="15" hidden="false" customHeight="false" outlineLevel="0" collapsed="false">
      <c r="A28" s="4" t="n">
        <v>19</v>
      </c>
      <c r="B28" s="9" t="n">
        <f aca="false">B$5*(1+A_pore*B$6*($A28/100))/(1-B$6*(1+((1-phimax_pore)/phimax_pore^2)*($A28/100))*($A28/100))</f>
        <v>2.47562415091884</v>
      </c>
      <c r="C28" s="9" t="n">
        <f aca="false">C$5*(1+A_pore*C$6*($A28/100))/(1-C$6*(1+((1-phimax_pore)/phimax_pore^2)*($A28/100))*($A28/100))</f>
        <v>2.48562705039718</v>
      </c>
      <c r="D28" s="9" t="n">
        <f aca="false">D$5*(1+A_pore*D$6*($A28/100))/(1-D$6*(1+((1-phimax_pore)/phimax_pore^2)*($A28/100))*($A28/100))</f>
        <v>2.49582984435602</v>
      </c>
      <c r="E28" s="9" t="n">
        <f aca="false">E$5*(1+A_pore*E$6*($A28/100))/(1-E$6*(1+((1-phimax_pore)/phimax_pore^2)*($A28/100))*($A28/100))</f>
        <v>2.50623878439923</v>
      </c>
      <c r="F28" s="9" t="n">
        <f aca="false">F$5*(1+A_pore*F$6*($A28/100))/(1-F$6*(1+((1-phimax_pore)/phimax_pore^2)*($A28/100))*($A28/100))</f>
        <v>2.51686039332004</v>
      </c>
      <c r="G28" s="9" t="n">
        <f aca="false">G$5*(1+A_pore*G$6*($A28/100))/(1-G$6*(1+((1-phimax_pore)/phimax_pore^2)*($A28/100))*($A28/100))</f>
        <v>2.52770148033837</v>
      </c>
      <c r="H28" s="9" t="n">
        <f aca="false">H$5*(1+A_pore*H$6*($A28/100))/(1-H$6*(1+((1-phimax_pore)/phimax_pore^2)*($A28/100))*($A28/100))</f>
        <v>2.53876915739825</v>
      </c>
      <c r="I28" s="9" t="n">
        <f aca="false">I$5*(1+A_pore*I$6*($A28/100))/(1-I$6*(1+((1-phimax_pore)/phimax_pore^2)*($A28/100))*($A28/100))</f>
        <v>2.55007085661374</v>
      </c>
      <c r="J28" s="9" t="n">
        <f aca="false">J$5*(1+A_pore*J$6*($A28/100))/(1-J$6*(1+((1-phimax_pore)/phimax_pore^2)*($A28/100))*($A28/100))</f>
        <v>2.56161434896033</v>
      </c>
      <c r="K28" s="9" t="n">
        <f aca="false">K$5*(1+A_pore*K$6*($A28/100))/(1-K$6*(1+((1-phimax_pore)/phimax_pore^2)*($A28/100))*($A28/100))</f>
        <v>2.57340776431861</v>
      </c>
      <c r="L28" s="9" t="n">
        <f aca="false">L$5*(1+A_pore*L$6*($A28/100))/(1-L$6*(1+((1-phimax_pore)/phimax_pore^2)*($A28/100))*($A28/100))</f>
        <v>2.58545961298749</v>
      </c>
      <c r="M28" s="9" t="n">
        <f aca="false">M$5*(1+A_pore*M$6*($A28/100))/(1-M$6*(1+((1-phimax_pore)/phimax_pore^2)*($A28/100))*($A28/100))</f>
        <v>2.59777880879621</v>
      </c>
      <c r="N28" s="9" t="n">
        <f aca="false">N$5*(1+A_pore*N$6*($A28/100))/(1-N$6*(1+((1-phimax_pore)/phimax_pore^2)*($A28/100))*($A28/100))</f>
        <v>2.61037469395778</v>
      </c>
      <c r="O28" s="9" t="n">
        <f aca="false">O$5*(1+A_pore*O$6*($A28/100))/(1-O$6*(1+((1-phimax_pore)/phimax_pore^2)*($A28/100))*($A28/100))</f>
        <v>2.6232570658214</v>
      </c>
      <c r="P28" s="9" t="n">
        <f aca="false">P$5*(1+A_pore*P$6*($A28/100))/(1-P$6*(1+((1-phimax_pore)/phimax_pore^2)*($A28/100))*($A28/100))</f>
        <v>2.63643620569788</v>
      </c>
      <c r="Q28" s="9" t="n">
        <f aca="false">Q$5*(1+A_pore*Q$6*($A28/100))/(1-Q$6*(1+((1-phimax_pore)/phimax_pore^2)*($A28/100))*($A28/100))</f>
        <v>2.64992290995106</v>
      </c>
      <c r="R28" s="9" t="n">
        <f aca="false">R$5*(1+A_pore*R$6*($A28/100))/(1-R$6*(1+((1-phimax_pore)/phimax_pore^2)*($A28/100))*($A28/100))</f>
        <v>2.66372852356915</v>
      </c>
      <c r="S28" s="9" t="n">
        <f aca="false">S$5*(1+A_pore*S$6*($A28/100))/(1-S$6*(1+((1-phimax_pore)/phimax_pore^2)*($A28/100))*($A28/100))</f>
        <v>2.67786497645351</v>
      </c>
      <c r="T28" s="9" t="n">
        <f aca="false">T$5*(1+A_pore*T$6*($A28/100))/(1-T$6*(1+((1-phimax_pore)/phimax_pore^2)*($A28/100))*($A28/100))</f>
        <v>2.69234482268909</v>
      </c>
      <c r="U28" s="9" t="n">
        <f aca="false">U$5*(1+A_pore*U$6*($A28/100))/(1-U$6*(1+((1-phimax_pore)/phimax_pore^2)*($A28/100))*($A28/100))</f>
        <v>2.70718128309108</v>
      </c>
      <c r="V28" s="9" t="n">
        <f aca="false">V$5*(1+A_pore*V$6*($A28/100))/(1-V$6*(1+((1-phimax_pore)/phimax_pore^2)*($A28/100))*($A28/100))</f>
        <v>2.72238829135594</v>
      </c>
      <c r="W28" s="9" t="n">
        <f aca="false">W$5*(1+A_pore*W$6*($A28/100))/(1-W$6*(1+((1-phimax_pore)/phimax_pore^2)*($A28/100))*($A28/100))</f>
        <v>2.73798054418409</v>
      </c>
      <c r="X28" s="9" t="n">
        <f aca="false">X$5*(1+A_pore*X$6*($A28/100))/(1-X$6*(1+((1-phimax_pore)/phimax_pore^2)*($A28/100))*($A28/100))</f>
        <v>2.75397355578497</v>
      </c>
      <c r="Y28" s="9" t="n">
        <f aca="false">Y$5*(1+A_pore*Y$6*($A28/100))/(1-Y$6*(1+((1-phimax_pore)/phimax_pore^2)*($A28/100))*($A28/100))</f>
        <v>2.77038371722522</v>
      </c>
      <c r="Z28" s="9" t="n">
        <f aca="false">Z$5*(1+A_pore*Z$6*($A28/100))/(1-Z$6*(1+((1-phimax_pore)/phimax_pore^2)*($A28/100))*($A28/100))</f>
        <v>2.78722836113755</v>
      </c>
      <c r="AA28" s="9" t="n">
        <f aca="false">AA$5*(1+A_pore*AA$6*($A28/100))/(1-AA$6*(1+((1-phimax_pore)/phimax_pore^2)*($A28/100))*($A28/100))</f>
        <v>2.80452583237254</v>
      </c>
      <c r="AB28" s="9" t="n">
        <f aca="false">AB$5*(1+A_pore*AB$6*($A28/100))/(1-AB$6*(1+((1-phimax_pore)/phimax_pore^2)*($A28/100))*($A28/100))</f>
        <v>2.82229556525008</v>
      </c>
      <c r="AC28" s="9" t="n">
        <f aca="false">AC$5*(1+A_pore*AC$6*($A28/100))/(1-AC$6*(1+((1-phimax_pore)/phimax_pore^2)*($A28/100))*($A28/100))</f>
        <v>2.84055816815215</v>
      </c>
      <c r="AD28" s="9" t="n">
        <f aca="false">AD$5*(1+A_pore*AD$6*($A28/100))/(1-AD$6*(1+((1-phimax_pore)/phimax_pore^2)*($A28/100))*($A28/100))</f>
        <v>2.85933551629636</v>
      </c>
      <c r="AE28" s="9" t="n">
        <f aca="false">AE$5*(1+A_pore*AE$6*($A28/100))/(1-AE$6*(1+((1-phimax_pore)/phimax_pore^2)*($A28/100))*($A28/100))</f>
        <v>2.87865085364265</v>
      </c>
      <c r="AF28" s="9" t="n">
        <f aca="false">AF$5*(1+A_pore*AF$6*($A28/100))/(1-AF$6*(1+((1-phimax_pore)/phimax_pore^2)*($A28/100))*($A28/100))</f>
        <v>2.89852890501523</v>
      </c>
      <c r="AG28" s="9" t="n">
        <f aca="false">AG$5*(1+A_pore*AG$6*($A28/100))/(1-AG$6*(1+((1-phimax_pore)/phimax_pore^2)*($A28/100))*($A28/100))</f>
        <v>2.91899599967287</v>
      </c>
      <c r="AH28" s="9" t="n">
        <f aca="false">AH$5*(1+A_pore*AH$6*($A28/100))/(1-AH$6*(1+((1-phimax_pore)/phimax_pore^2)*($A28/100))*($A28/100))</f>
        <v>2.94008020773495</v>
      </c>
      <c r="AI28" s="9" t="n">
        <f aca="false">AI$5*(1+A_pore*AI$6*($A28/100))/(1-AI$6*(1+((1-phimax_pore)/phimax_pore^2)*($A28/100))*($A28/100))</f>
        <v>2.96181149107416</v>
      </c>
      <c r="AJ28" s="9" t="n">
        <f aca="false">AJ$5*(1+A_pore*AJ$6*($A28/100))/(1-AJ$6*(1+((1-phimax_pore)/phimax_pore^2)*($A28/100))*($A28/100))</f>
        <v>2.98422187052387</v>
      </c>
      <c r="AK28" s="9" t="n">
        <f aca="false">AK$5*(1+A_pore*AK$6*($A28/100))/(1-AK$6*(1+((1-phimax_pore)/phimax_pore^2)*($A28/100))*($A28/100))</f>
        <v>3.00734561152516</v>
      </c>
    </row>
    <row r="29" customFormat="false" ht="15" hidden="false" customHeight="false" outlineLevel="0" collapsed="false">
      <c r="A29" s="4" t="n">
        <v>20</v>
      </c>
      <c r="B29" s="9" t="n">
        <f aca="false">B$5*(1+A_pore*B$6*($A29/100))/(1-B$6*(1+((1-phimax_pore)/phimax_pore^2)*($A29/100))*($A29/100))</f>
        <v>2.43680545928054</v>
      </c>
      <c r="C29" s="9" t="n">
        <f aca="false">C$5*(1+A_pore*C$6*($A29/100))/(1-C$6*(1+((1-phimax_pore)/phimax_pore^2)*($A29/100))*($A29/100))</f>
        <v>2.44643531854412</v>
      </c>
      <c r="D29" s="9" t="n">
        <f aca="false">D$5*(1+A_pore*D$6*($A29/100))/(1-D$6*(1+((1-phimax_pore)/phimax_pore^2)*($A29/100))*($A29/100))</f>
        <v>2.45625651708979</v>
      </c>
      <c r="E29" s="9" t="n">
        <f aca="false">E$5*(1+A_pore*E$6*($A29/100))/(1-E$6*(1+((1-phimax_pore)/phimax_pore^2)*($A29/100))*($A29/100))</f>
        <v>2.46627501492066</v>
      </c>
      <c r="F29" s="9" t="n">
        <f aca="false">F$5*(1+A_pore*F$6*($A29/100))/(1-F$6*(1+((1-phimax_pore)/phimax_pore^2)*($A29/100))*($A29/100))</f>
        <v>2.47649702993086</v>
      </c>
      <c r="G29" s="9" t="n">
        <f aca="false">G$5*(1+A_pore*G$6*($A29/100))/(1-G$6*(1+((1-phimax_pore)/phimax_pore^2)*($A29/100))*($A29/100))</f>
        <v>2.48692905237646</v>
      </c>
      <c r="H29" s="9" t="n">
        <f aca="false">H$5*(1+A_pore*H$6*($A29/100))/(1-H$6*(1+((1-phimax_pore)/phimax_pore^2)*($A29/100))*($A29/100))</f>
        <v>2.49757786035266</v>
      </c>
      <c r="I29" s="9" t="n">
        <f aca="false">I$5*(1+A_pore*I$6*($A29/100))/(1-I$6*(1+((1-phimax_pore)/phimax_pore^2)*($A29/100))*($A29/100))</f>
        <v>2.50845053636118</v>
      </c>
      <c r="J29" s="9" t="n">
        <f aca="false">J$5*(1+A_pore*J$6*($A29/100))/(1-J$6*(1+((1-phimax_pore)/phimax_pore^2)*($A29/100))*($A29/100))</f>
        <v>2.51955448505997</v>
      </c>
      <c r="K29" s="9" t="n">
        <f aca="false">K$5*(1+A_pore*K$6*($A29/100))/(1-K$6*(1+((1-phimax_pore)/phimax_pore^2)*($A29/100))*($A29/100))</f>
        <v>2.53089745229648</v>
      </c>
      <c r="L29" s="9" t="n">
        <f aca="false">L$5*(1+A_pore*L$6*($A29/100))/(1-L$6*(1+((1-phimax_pore)/phimax_pore^2)*($A29/100))*($A29/100))</f>
        <v>2.54248754553592</v>
      </c>
      <c r="M29" s="9" t="n">
        <f aca="false">M$5*(1+A_pore*M$6*($A29/100))/(1-M$6*(1+((1-phimax_pore)/phimax_pore^2)*($A29/100))*($A29/100))</f>
        <v>2.5543332558072</v>
      </c>
      <c r="N29" s="9" t="n">
        <f aca="false">N$5*(1+A_pore*N$6*($A29/100))/(1-N$6*(1+((1-phimax_pore)/phimax_pore^2)*($A29/100))*($A29/100))</f>
        <v>2.56644348130203</v>
      </c>
      <c r="O29" s="9" t="n">
        <f aca="false">O$5*(1+A_pore*O$6*($A29/100))/(1-O$6*(1+((1-phimax_pore)/phimax_pore^2)*($A29/100))*($A29/100))</f>
        <v>2.57882755277652</v>
      </c>
      <c r="P29" s="9" t="n">
        <f aca="false">P$5*(1+A_pore*P$6*($A29/100))/(1-P$6*(1+((1-phimax_pore)/phimax_pore^2)*($A29/100))*($A29/100))</f>
        <v>2.59149526092091</v>
      </c>
      <c r="Q29" s="9" t="n">
        <f aca="false">Q$5*(1+A_pore*Q$6*($A29/100))/(1-Q$6*(1+((1-phimax_pore)/phimax_pore^2)*($A29/100))*($A29/100))</f>
        <v>2.60445688588028</v>
      </c>
      <c r="R29" s="9" t="n">
        <f aca="false">R$5*(1+A_pore*R$6*($A29/100))/(1-R$6*(1+((1-phimax_pore)/phimax_pore^2)*($A29/100))*($A29/100))</f>
        <v>2.61772322912966</v>
      </c>
      <c r="S29" s="9" t="n">
        <f aca="false">S$5*(1+A_pore*S$6*($A29/100))/(1-S$6*(1+((1-phimax_pore)/phimax_pore^2)*($A29/100))*($A29/100))</f>
        <v>2.63130564792888</v>
      </c>
      <c r="T29" s="9" t="n">
        <f aca="false">T$5*(1+A_pore*T$6*($A29/100))/(1-T$6*(1+((1-phimax_pore)/phimax_pore^2)*($A29/100))*($A29/100))</f>
        <v>2.6452160926083</v>
      </c>
      <c r="U29" s="9" t="n">
        <f aca="false">U$5*(1+A_pore*U$6*($A29/100))/(1-U$6*(1+((1-phimax_pore)/phimax_pore^2)*($A29/100))*($A29/100))</f>
        <v>2.65946714696486</v>
      </c>
      <c r="V29" s="9" t="n">
        <f aca="false">V$5*(1+A_pore*V$6*($A29/100))/(1-V$6*(1+((1-phimax_pore)/phimax_pore^2)*($A29/100))*($A29/100))</f>
        <v>2.67407207208038</v>
      </c>
      <c r="W29" s="9" t="n">
        <f aca="false">W$5*(1+A_pore*W$6*($A29/100))/(1-W$6*(1+((1-phimax_pore)/phimax_pore^2)*($A29/100))*($A29/100))</f>
        <v>2.68904485391081</v>
      </c>
      <c r="X29" s="9" t="n">
        <f aca="false">X$5*(1+A_pore*X$6*($A29/100))/(1-X$6*(1+((1-phimax_pore)/phimax_pore^2)*($A29/100))*($A29/100))</f>
        <v>2.70440025503652</v>
      </c>
      <c r="Y29" s="9" t="n">
        <f aca="false">Y$5*(1+A_pore*Y$6*($A29/100))/(1-Y$6*(1+((1-phimax_pore)/phimax_pore^2)*($A29/100))*($A29/100))</f>
        <v>2.7201538710114</v>
      </c>
      <c r="Z29" s="9" t="n">
        <f aca="false">Z$5*(1+A_pore*Z$6*($A29/100))/(1-Z$6*(1+((1-phimax_pore)/phimax_pore^2)*($A29/100))*($A29/100))</f>
        <v>2.73632219180219</v>
      </c>
      <c r="AA29" s="9" t="n">
        <f aca="false">AA$5*(1+A_pore*AA$6*($A29/100))/(1-AA$6*(1+((1-phimax_pore)/phimax_pore^2)*($A29/100))*($A29/100))</f>
        <v>2.75292266887142</v>
      </c>
      <c r="AB29" s="9" t="n">
        <f aca="false">AB$5*(1+A_pore*AB$6*($A29/100))/(1-AB$6*(1+((1-phimax_pore)/phimax_pore^2)*($A29/100))*($A29/100))</f>
        <v>2.76997378852769</v>
      </c>
      <c r="AC29" s="9" t="n">
        <f aca="false">AC$5*(1+A_pore*AC$6*($A29/100))/(1-AC$6*(1+((1-phimax_pore)/phimax_pore^2)*($A29/100))*($A29/100))</f>
        <v>2.78749515224794</v>
      </c>
      <c r="AD29" s="9" t="n">
        <f aca="false">AD$5*(1+A_pore*AD$6*($A29/100))/(1-AD$6*(1+((1-phimax_pore)/phimax_pore^2)*($A29/100))*($A29/100))</f>
        <v>2.80550756476939</v>
      </c>
      <c r="AE29" s="9" t="n">
        <f aca="false">AE$5*(1+A_pore*AE$6*($A29/100))/(1-AE$6*(1+((1-phimax_pore)/phimax_pore^2)*($A29/100))*($A29/100))</f>
        <v>2.82403313085598</v>
      </c>
      <c r="AF29" s="9" t="n">
        <f aca="false">AF$5*(1+A_pore*AF$6*($A29/100))/(1-AF$6*(1+((1-phimax_pore)/phimax_pore^2)*($A29/100))*($A29/100))</f>
        <v>2.84309536176769</v>
      </c>
      <c r="AG29" s="9" t="n">
        <f aca="false">AG$5*(1+A_pore*AG$6*($A29/100))/(1-AG$6*(1+((1-phimax_pore)/phimax_pore^2)*($A29/100))*($A29/100))</f>
        <v>2.86271929260441</v>
      </c>
      <c r="AH29" s="9" t="n">
        <f aca="false">AH$5*(1+A_pore*AH$6*($A29/100))/(1-AH$6*(1+((1-phimax_pore)/phimax_pore^2)*($A29/100))*($A29/100))</f>
        <v>2.88293161186205</v>
      </c>
      <c r="AI29" s="9" t="n">
        <f aca="false">AI$5*(1+A_pore*AI$6*($A29/100))/(1-AI$6*(1+((1-phimax_pore)/phimax_pore^2)*($A29/100))*($A29/100))</f>
        <v>2.90376080473191</v>
      </c>
      <c r="AJ29" s="9" t="n">
        <f aca="false">AJ$5*(1+A_pore*AJ$6*($A29/100))/(1-AJ$6*(1+((1-phimax_pore)/phimax_pore^2)*($A29/100))*($A29/100))</f>
        <v>2.92523731189968</v>
      </c>
      <c r="AK29" s="9" t="n">
        <f aca="false">AK$5*(1+A_pore*AK$6*($A29/100))/(1-AK$6*(1+((1-phimax_pore)/phimax_pore^2)*($A29/100))*($A29/100))</f>
        <v>2.94739370586422</v>
      </c>
    </row>
    <row r="30" customFormat="false" ht="15" hidden="false" customHeight="false" outlineLevel="0" collapsed="false">
      <c r="A30" s="4" t="n">
        <v>21</v>
      </c>
      <c r="B30" s="9" t="n">
        <f aca="false">B$5*(1+A_pore*B$6*($A30/100))/(1-B$6*(1+((1-phimax_pore)/phimax_pore^2)*($A30/100))*($A30/100))</f>
        <v>2.39905891085837</v>
      </c>
      <c r="C30" s="9" t="n">
        <f aca="false">C$5*(1+A_pore*C$6*($A30/100))/(1-C$6*(1+((1-phimax_pore)/phimax_pore^2)*($A30/100))*($A30/100))</f>
        <v>2.40833174931968</v>
      </c>
      <c r="D30" s="9" t="n">
        <f aca="false">D$5*(1+A_pore*D$6*($A30/100))/(1-D$6*(1+((1-phimax_pore)/phimax_pore^2)*($A30/100))*($A30/100))</f>
        <v>2.41778781184393</v>
      </c>
      <c r="E30" s="9" t="n">
        <f aca="false">E$5*(1+A_pore*E$6*($A30/100))/(1-E$6*(1+((1-phimax_pore)/phimax_pore^2)*($A30/100))*($A30/100))</f>
        <v>2.42743278375717</v>
      </c>
      <c r="F30" s="9" t="n">
        <f aca="false">F$5*(1+A_pore*F$6*($A30/100))/(1-F$6*(1+((1-phimax_pore)/phimax_pore^2)*($A30/100))*($A30/100))</f>
        <v>2.43727259581687</v>
      </c>
      <c r="G30" s="9" t="n">
        <f aca="false">G$5*(1+A_pore*G$6*($A30/100))/(1-G$6*(1+((1-phimax_pore)/phimax_pore^2)*($A30/100))*($A30/100))</f>
        <v>2.44731343796761</v>
      </c>
      <c r="H30" s="9" t="n">
        <f aca="false">H$5*(1+A_pore*H$6*($A30/100))/(1-H$6*(1+((1-phimax_pore)/phimax_pore^2)*($A30/100))*($A30/100))</f>
        <v>2.45756177405299</v>
      </c>
      <c r="I30" s="9" t="n">
        <f aca="false">I$5*(1+A_pore*I$6*($A30/100))/(1-I$6*(1+((1-phimax_pore)/phimax_pore^2)*($A30/100))*($A30/100))</f>
        <v>2.46802435756337</v>
      </c>
      <c r="J30" s="9" t="n">
        <f aca="false">J$5*(1+A_pore*J$6*($A30/100))/(1-J$6*(1+((1-phimax_pore)/phimax_pore^2)*($A30/100))*($A30/100))</f>
        <v>2.47870824850724</v>
      </c>
      <c r="K30" s="9" t="n">
        <f aca="false">K$5*(1+A_pore*K$6*($A30/100))/(1-K$6*(1+((1-phimax_pore)/phimax_pore^2)*($A30/100))*($A30/100))</f>
        <v>2.48962083150214</v>
      </c>
      <c r="L30" s="9" t="n">
        <f aca="false">L$5*(1+A_pore*L$6*($A30/100))/(1-L$6*(1+((1-phimax_pore)/phimax_pore^2)*($A30/100))*($A30/100))</f>
        <v>2.50076983519134</v>
      </c>
      <c r="M30" s="9" t="n">
        <f aca="false">M$5*(1+A_pore*M$6*($A30/100))/(1-M$6*(1+((1-phimax_pore)/phimax_pore^2)*($A30/100))*($A30/100))</f>
        <v>2.51216335310269</v>
      </c>
      <c r="N30" s="9" t="n">
        <f aca="false">N$5*(1+A_pore*N$6*($A30/100))/(1-N$6*(1+((1-phimax_pore)/phimax_pore^2)*($A30/100))*($A30/100))</f>
        <v>2.52380986607841</v>
      </c>
      <c r="O30" s="9" t="n">
        <f aca="false">O$5*(1+A_pore*O$6*($A30/100))/(1-O$6*(1+((1-phimax_pore)/phimax_pore^2)*($A30/100))*($A30/100))</f>
        <v>2.53571826641794</v>
      </c>
      <c r="P30" s="9" t="n">
        <f aca="false">P$5*(1+A_pore*P$6*($A30/100))/(1-P$6*(1+((1-phimax_pore)/phimax_pore^2)*($A30/100))*($A30/100))</f>
        <v>2.54789788389113</v>
      </c>
      <c r="Q30" s="9" t="n">
        <f aca="false">Q$5*(1+A_pore*Q$6*($A30/100))/(1-Q$6*(1+((1-phimax_pore)/phimax_pore^2)*($A30/100))*($A30/100))</f>
        <v>2.56035851379567</v>
      </c>
      <c r="R30" s="9" t="n">
        <f aca="false">R$5*(1+A_pore*R$6*($A30/100))/(1-R$6*(1+((1-phimax_pore)/phimax_pore^2)*($A30/100))*($A30/100))</f>
        <v>2.57311044725206</v>
      </c>
      <c r="S30" s="9" t="n">
        <f aca="false">S$5*(1+A_pore*S$6*($A30/100))/(1-S$6*(1+((1-phimax_pore)/phimax_pore^2)*($A30/100))*($A30/100))</f>
        <v>2.58616450395056</v>
      </c>
      <c r="T30" s="9" t="n">
        <f aca="false">T$5*(1+A_pore*T$6*($A30/100))/(1-T$6*(1+((1-phimax_pore)/phimax_pore^2)*($A30/100))*($A30/100))</f>
        <v>2.5995320675886</v>
      </c>
      <c r="U30" s="9" t="n">
        <f aca="false">U$5*(1+A_pore*U$6*($A30/100))/(1-U$6*(1+((1-phimax_pore)/phimax_pore^2)*($A30/100))*($A30/100))</f>
        <v>2.61322512426454</v>
      </c>
      <c r="V30" s="9" t="n">
        <f aca="false">V$5*(1+A_pore*V$6*($A30/100))/(1-V$6*(1+((1-phimax_pore)/phimax_pore^2)*($A30/100))*($A30/100))</f>
        <v>2.6272563041244</v>
      </c>
      <c r="W30" s="9" t="n">
        <f aca="false">W$5*(1+A_pore*W$6*($A30/100))/(1-W$6*(1+((1-phimax_pore)/phimax_pore^2)*($A30/100))*($A30/100))</f>
        <v>2.64163892659296</v>
      </c>
      <c r="X30" s="9" t="n">
        <f aca="false">X$5*(1+A_pore*X$6*($A30/100))/(1-X$6*(1+((1-phimax_pore)/phimax_pore^2)*($A30/100))*($A30/100))</f>
        <v>2.65638704956033</v>
      </c>
      <c r="Y30" s="9" t="n">
        <f aca="false">Y$5*(1+A_pore*Y$6*($A30/100))/(1-Y$6*(1+((1-phimax_pore)/phimax_pore^2)*($A30/100))*($A30/100))</f>
        <v>2.67151552294031</v>
      </c>
      <c r="Z30" s="9" t="n">
        <f aca="false">Z$5*(1+A_pore*Z$6*($A30/100))/(1-Z$6*(1+((1-phimax_pore)/phimax_pore^2)*($A30/100))*($A30/100))</f>
        <v>2.68704004706783</v>
      </c>
      <c r="AA30" s="9" t="n">
        <f aca="false">AA$5*(1+A_pore*AA$6*($A30/100))/(1-AA$6*(1+((1-phimax_pore)/phimax_pore^2)*($A30/100))*($A30/100))</f>
        <v>2.70297723646183</v>
      </c>
      <c r="AB30" s="9" t="n">
        <f aca="false">AB$5*(1+A_pore*AB$6*($A30/100))/(1-AB$6*(1+((1-phimax_pore)/phimax_pore^2)*($A30/100))*($A30/100))</f>
        <v>2.71934468954688</v>
      </c>
      <c r="AC30" s="9" t="n">
        <f aca="false">AC$5*(1+A_pore*AC$6*($A30/100))/(1-AC$6*(1+((1-phimax_pore)/phimax_pore^2)*($A30/100))*($A30/100))</f>
        <v>2.73616106500376</v>
      </c>
      <c r="AD30" s="9" t="n">
        <f aca="false">AD$5*(1+A_pore*AD$6*($A30/100))/(1-AD$6*(1+((1-phimax_pore)/phimax_pore^2)*($A30/100))*($A30/100))</f>
        <v>2.7534461655079</v>
      </c>
      <c r="AE30" s="9" t="n">
        <f aca="false">AE$5*(1+A_pore*AE$6*($A30/100))/(1-AE$6*(1+((1-phimax_pore)/phimax_pore^2)*($A30/100))*($A30/100))</f>
        <v>2.77122102971631</v>
      </c>
      <c r="AF30" s="9" t="n">
        <f aca="false">AF$5*(1+A_pore*AF$6*($A30/100))/(1-AF$6*(1+((1-phimax_pore)/phimax_pore^2)*($A30/100))*($A30/100))</f>
        <v>2.78950803348167</v>
      </c>
      <c r="AG30" s="9" t="n">
        <f aca="false">AG$5*(1+A_pore*AG$6*($A30/100))/(1-AG$6*(1+((1-phimax_pore)/phimax_pore^2)*($A30/100))*($A30/100))</f>
        <v>2.80833100140806</v>
      </c>
      <c r="AH30" s="9" t="n">
        <f aca="false">AH$5*(1+A_pore*AH$6*($A30/100))/(1-AH$6*(1+((1-phimax_pore)/phimax_pore^2)*($A30/100))*($A30/100))</f>
        <v>2.8277153300214</v>
      </c>
      <c r="AI30" s="9" t="n">
        <f aca="false">AI$5*(1+A_pore*AI$6*($A30/100))/(1-AI$6*(1+((1-phimax_pore)/phimax_pore^2)*($A30/100))*($A30/100))</f>
        <v>2.84768812401138</v>
      </c>
      <c r="AJ30" s="9" t="n">
        <f aca="false">AJ$5*(1+A_pore*AJ$6*($A30/100))/(1-AJ$6*(1+((1-phimax_pore)/phimax_pore^2)*($A30/100))*($A30/100))</f>
        <v>2.86827834721631</v>
      </c>
      <c r="AK30" s="9" t="n">
        <f aca="false">AK$5*(1+A_pore*AK$6*($A30/100))/(1-AK$6*(1+((1-phimax_pore)/phimax_pore^2)*($A30/100))*($A30/100))</f>
        <v>2.88951699027347</v>
      </c>
    </row>
    <row r="31" customFormat="false" ht="15" hidden="false" customHeight="false" outlineLevel="0" collapsed="false">
      <c r="A31" s="4" t="n">
        <v>22</v>
      </c>
      <c r="B31" s="9" t="n">
        <f aca="false">B$5*(1+A_pore*B$6*($A31/100))/(1-B$6*(1+((1-phimax_pore)/phimax_pore^2)*($A31/100))*($A31/100))</f>
        <v>2.3623407267579</v>
      </c>
      <c r="C31" s="9" t="n">
        <f aca="false">C$5*(1+A_pore*C$6*($A31/100))/(1-C$6*(1+((1-phimax_pore)/phimax_pore^2)*($A31/100))*($A31/100))</f>
        <v>2.37127167814036</v>
      </c>
      <c r="D31" s="9" t="n">
        <f aca="false">D$5*(1+A_pore*D$6*($A31/100))/(1-D$6*(1+((1-phimax_pore)/phimax_pore^2)*($A31/100))*($A31/100))</f>
        <v>2.38037814964783</v>
      </c>
      <c r="E31" s="9" t="n">
        <f aca="false">E$5*(1+A_pore*E$6*($A31/100))/(1-E$6*(1+((1-phimax_pore)/phimax_pore^2)*($A31/100))*($A31/100))</f>
        <v>2.38966556760796</v>
      </c>
      <c r="F31" s="9" t="n">
        <f aca="false">F$5*(1+A_pore*F$6*($A31/100))/(1-F$6*(1+((1-phimax_pore)/phimax_pore^2)*($A31/100))*($A31/100))</f>
        <v>2.39913959209141</v>
      </c>
      <c r="G31" s="9" t="n">
        <f aca="false">G$5*(1+A_pore*G$6*($A31/100))/(1-G$6*(1+((1-phimax_pore)/phimax_pore^2)*($A31/100))*($A31/100))</f>
        <v>2.40880612999904</v>
      </c>
      <c r="H31" s="9" t="n">
        <f aca="false">H$5*(1+A_pore*H$6*($A31/100))/(1-H$6*(1+((1-phimax_pore)/phimax_pore^2)*($A31/100))*($A31/100))</f>
        <v>2.41867134905858</v>
      </c>
      <c r="I31" s="9" t="n">
        <f aca="false">I$5*(1+A_pore*I$6*($A31/100))/(1-I$6*(1+((1-phimax_pore)/phimax_pore^2)*($A31/100))*($A31/100))</f>
        <v>2.42874169280664</v>
      </c>
      <c r="J31" s="9" t="n">
        <f aca="false">J$5*(1+A_pore*J$6*($A31/100))/(1-J$6*(1+((1-phimax_pore)/phimax_pore^2)*($A31/100))*($A31/100))</f>
        <v>2.43902389663938</v>
      </c>
      <c r="K31" s="9" t="n">
        <f aca="false">K$5*(1+A_pore*K$6*($A31/100))/(1-K$6*(1+((1-phimax_pore)/phimax_pore^2)*($A31/100))*($A31/100))</f>
        <v>2.44952500502338</v>
      </c>
      <c r="L31" s="9" t="n">
        <f aca="false">L$5*(1+A_pore*L$6*($A31/100))/(1-L$6*(1+((1-phimax_pore)/phimax_pore^2)*($A31/100))*($A31/100))</f>
        <v>2.46025238996742</v>
      </c>
      <c r="M31" s="9" t="n">
        <f aca="false">M$5*(1+A_pore*M$6*($A31/100))/(1-M$6*(1+((1-phimax_pore)/phimax_pore^2)*($A31/100))*($A31/100))</f>
        <v>2.47121377086629</v>
      </c>
      <c r="N31" s="9" t="n">
        <f aca="false">N$5*(1+A_pore*N$6*($A31/100))/(1-N$6*(1+((1-phimax_pore)/phimax_pore^2)*($A31/100))*($A31/100))</f>
        <v>2.4824172358389</v>
      </c>
      <c r="O31" s="9" t="n">
        <f aca="false">O$5*(1+A_pore*O$6*($A31/100))/(1-O$6*(1+((1-phimax_pore)/phimax_pore^2)*($A31/100))*($A31/100))</f>
        <v>2.49387126469606</v>
      </c>
      <c r="P31" s="9" t="n">
        <f aca="false">P$5*(1+A_pore*P$6*($A31/100))/(1-P$6*(1+((1-phimax_pore)/phimax_pore^2)*($A31/100))*($A31/100))</f>
        <v>2.50558475368747</v>
      </c>
      <c r="Q31" s="9" t="n">
        <f aca="false">Q$5*(1+A_pore*Q$6*($A31/100))/(1-Q$6*(1+((1-phimax_pore)/phimax_pore^2)*($A31/100))*($A31/100))</f>
        <v>2.51756704219365</v>
      </c>
      <c r="R31" s="9" t="n">
        <f aca="false">R$5*(1+A_pore*R$6*($A31/100))/(1-R$6*(1+((1-phimax_pore)/phimax_pore^2)*($A31/100))*($A31/100))</f>
        <v>2.52982794154649</v>
      </c>
      <c r="S31" s="9" t="n">
        <f aca="false">S$5*(1+A_pore*S$6*($A31/100))/(1-S$6*(1+((1-phimax_pore)/phimax_pore^2)*($A31/100))*($A31/100))</f>
        <v>2.5423777661827</v>
      </c>
      <c r="T31" s="9" t="n">
        <f aca="false">T$5*(1+A_pore*T$6*($A31/100))/(1-T$6*(1+((1-phimax_pore)/phimax_pore^2)*($A31/100))*($A31/100))</f>
        <v>2.5552273673571</v>
      </c>
      <c r="U31" s="9" t="n">
        <f aca="false">U$5*(1+A_pore*U$6*($A31/100))/(1-U$6*(1+((1-phimax_pore)/phimax_pore^2)*($A31/100))*($A31/100))</f>
        <v>2.56838816966886</v>
      </c>
      <c r="V31" s="9" t="n">
        <f aca="false">V$5*(1+A_pore*V$6*($A31/100))/(1-V$6*(1+((1-phimax_pore)/phimax_pore^2)*($A31/100))*($A31/100))</f>
        <v>2.58187221068293</v>
      </c>
      <c r="W31" s="9" t="n">
        <f aca="false">W$5*(1+A_pore*W$6*($A31/100))/(1-W$6*(1+((1-phimax_pore)/phimax_pore^2)*($A31/100))*($A31/100))</f>
        <v>2.59569218396232</v>
      </c>
      <c r="X31" s="9" t="n">
        <f aca="false">X$5*(1+A_pore*X$6*($A31/100))/(1-X$6*(1+((1-phimax_pore)/phimax_pore^2)*($A31/100))*($A31/100))</f>
        <v>2.60986148586435</v>
      </c>
      <c r="Y31" s="9" t="n">
        <f aca="false">Y$5*(1+A_pore*Y$6*($A31/100))/(1-Y$6*(1+((1-phimax_pore)/phimax_pore^2)*($A31/100))*($A31/100))</f>
        <v>2.62439426649734</v>
      </c>
      <c r="Z31" s="9" t="n">
        <f aca="false">Z$5*(1+A_pore*Z$6*($A31/100))/(1-Z$6*(1+((1-phimax_pore)/phimax_pore^2)*($A31/100))*($A31/100))</f>
        <v>2.63930548528263</v>
      </c>
      <c r="AA31" s="9" t="n">
        <f aca="false">AA$5*(1+A_pore*AA$6*($A31/100))/(1-AA$6*(1+((1-phimax_pore)/phimax_pore^2)*($A31/100))*($A31/100))</f>
        <v>2.65461097162305</v>
      </c>
      <c r="AB31" s="9" t="n">
        <f aca="false">AB$5*(1+A_pore*AB$6*($A31/100))/(1-AB$6*(1+((1-phimax_pore)/phimax_pore^2)*($A31/100))*($A31/100))</f>
        <v>2.6703274912429</v>
      </c>
      <c r="AC31" s="9" t="n">
        <f aca="false">AC$5*(1+A_pore*AC$6*($A31/100))/(1-AC$6*(1+((1-phimax_pore)/phimax_pore^2)*($A31/100))*($A31/100))</f>
        <v>2.68647281883759</v>
      </c>
      <c r="AD31" s="9" t="n">
        <f aca="false">AD$5*(1+A_pore*AD$6*($A31/100))/(1-AD$6*(1+((1-phimax_pore)/phimax_pore^2)*($A31/100))*($A31/100))</f>
        <v>2.70306581775576</v>
      </c>
      <c r="AE31" s="9" t="n">
        <f aca="false">AE$5*(1+A_pore*AE$6*($A31/100))/(1-AE$6*(1+((1-phimax_pore)/phimax_pore^2)*($A31/100))*($A31/100))</f>
        <v>2.72012652753346</v>
      </c>
      <c r="AF31" s="9" t="n">
        <f aca="false">AF$5*(1+A_pore*AF$6*($A31/100))/(1-AF$6*(1+((1-phimax_pore)/phimax_pore^2)*($A31/100))*($A31/100))</f>
        <v>2.73767626021256</v>
      </c>
      <c r="AG31" s="9" t="n">
        <f aca="false">AG$5*(1+A_pore*AG$6*($A31/100))/(1-AG$6*(1+((1-phimax_pore)/phimax_pore^2)*($A31/100))*($A31/100))</f>
        <v>2.75573770650503</v>
      </c>
      <c r="AH31" s="9" t="n">
        <f aca="false">AH$5*(1+A_pore*AH$6*($A31/100))/(1-AH$6*(1+((1-phimax_pore)/phimax_pore^2)*($A31/100))*($A31/100))</f>
        <v>2.77433505301568</v>
      </c>
      <c r="AI31" s="9" t="n">
        <f aca="false">AI$5*(1+A_pore*AI$6*($A31/100))/(1-AI$6*(1+((1-phimax_pore)/phimax_pore^2)*($A31/100))*($A31/100))</f>
        <v>2.79349411191122</v>
      </c>
      <c r="AJ31" s="9" t="n">
        <f aca="false">AJ$5*(1+A_pore*AJ$6*($A31/100))/(1-AJ$6*(1+((1-phimax_pore)/phimax_pore^2)*($A31/100))*($A31/100))</f>
        <v>2.81324246462805</v>
      </c>
      <c r="AK31" s="9" t="n">
        <f aca="false">AK$5*(1+A_pore*AK$6*($A31/100))/(1-AK$6*(1+((1-phimax_pore)/phimax_pore^2)*($A31/100))*($A31/100))</f>
        <v>2.83360962145045</v>
      </c>
    </row>
    <row r="32" customFormat="false" ht="15" hidden="false" customHeight="false" outlineLevel="0" collapsed="false">
      <c r="A32" s="4" t="n">
        <v>23</v>
      </c>
      <c r="B32" s="9" t="n">
        <f aca="false">B$5*(1+A_pore*B$6*($A32/100))/(1-B$6*(1+((1-phimax_pore)/phimax_pore^2)*($A32/100))*($A32/100))</f>
        <v>2.32660947956698</v>
      </c>
      <c r="C32" s="9" t="n">
        <f aca="false">C$5*(1+A_pore*C$6*($A32/100))/(1-C$6*(1+((1-phimax_pore)/phimax_pore^2)*($A32/100))*($A32/100))</f>
        <v>2.33521285181199</v>
      </c>
      <c r="D32" s="9" t="n">
        <f aca="false">D$5*(1+A_pore*D$6*($A32/100))/(1-D$6*(1+((1-phimax_pore)/phimax_pore^2)*($A32/100))*($A32/100))</f>
        <v>2.34398442507145</v>
      </c>
      <c r="E32" s="9" t="n">
        <f aca="false">E$5*(1+A_pore*E$6*($A32/100))/(1-E$6*(1+((1-phimax_pore)/phimax_pore^2)*($A32/100))*($A32/100))</f>
        <v>2.3529293812171</v>
      </c>
      <c r="F32" s="9" t="n">
        <f aca="false">F$5*(1+A_pore*F$6*($A32/100))/(1-F$6*(1+((1-phimax_pore)/phimax_pore^2)*($A32/100))*($A32/100))</f>
        <v>2.36205312488526</v>
      </c>
      <c r="G32" s="9" t="n">
        <f aca="false">G$5*(1+A_pore*G$6*($A32/100))/(1-G$6*(1+((1-phimax_pore)/phimax_pore^2)*($A32/100))*($A32/100))</f>
        <v>2.37136129593832</v>
      </c>
      <c r="H32" s="9" t="n">
        <f aca="false">H$5*(1+A_pore*H$6*($A32/100))/(1-H$6*(1+((1-phimax_pore)/phimax_pore^2)*($A32/100))*($A32/100))</f>
        <v>2.38085978279203</v>
      </c>
      <c r="I32" s="9" t="n">
        <f aca="false">I$5*(1+A_pore*I$6*($A32/100))/(1-I$6*(1+((1-phimax_pore)/phimax_pore^2)*($A32/100))*($A32/100))</f>
        <v>2.39055473668089</v>
      </c>
      <c r="J32" s="9" t="n">
        <f aca="false">J$5*(1+A_pore*J$6*($A32/100))/(1-J$6*(1+((1-phimax_pore)/phimax_pore^2)*($A32/100))*($A32/100))</f>
        <v>2.40045258694103</v>
      </c>
      <c r="K32" s="9" t="n">
        <f aca="false">K$5*(1+A_pore*K$6*($A32/100))/(1-K$6*(1+((1-phimax_pore)/phimax_pore^2)*($A32/100))*($A32/100))</f>
        <v>2.4105600573977</v>
      </c>
      <c r="L32" s="9" t="n">
        <f aca="false">L$5*(1+A_pore*L$6*($A32/100))/(1-L$6*(1+((1-phimax_pore)/phimax_pore^2)*($A32/100))*($A32/100))</f>
        <v>2.42088418395335</v>
      </c>
      <c r="M32" s="9" t="n">
        <f aca="false">M$5*(1+A_pore*M$6*($A32/100))/(1-M$6*(1+((1-phimax_pore)/phimax_pore^2)*($A32/100))*($A32/100))</f>
        <v>2.43143233348201</v>
      </c>
      <c r="N32" s="9" t="n">
        <f aca="false">N$5*(1+A_pore*N$6*($A32/100))/(1-N$6*(1+((1-phimax_pore)/phimax_pore^2)*($A32/100))*($A32/100))</f>
        <v>2.4422122241466</v>
      </c>
      <c r="O32" s="9" t="n">
        <f aca="false">O$5*(1+A_pore*O$6*($A32/100))/(1-O$6*(1+((1-phimax_pore)/phimax_pore^2)*($A32/100))*($A32/100))</f>
        <v>2.45323194726802</v>
      </c>
      <c r="P32" s="9" t="n">
        <f aca="false">P$5*(1+A_pore*P$6*($A32/100))/(1-P$6*(1+((1-phimax_pore)/phimax_pore^2)*($A32/100))*($A32/100))</f>
        <v>2.46449999088842</v>
      </c>
      <c r="Q32" s="9" t="n">
        <f aca="false">Q$5*(1+A_pore*Q$6*($A32/100))/(1-Q$6*(1+((1-phimax_pore)/phimax_pore^2)*($A32/100))*($A32/100))</f>
        <v>2.47602526518667</v>
      </c>
      <c r="R32" s="9" t="n">
        <f aca="false">R$5*(1+A_pore*R$6*($A32/100))/(1-R$6*(1+((1-phimax_pore)/phimax_pore^2)*($A32/100))*($A32/100))</f>
        <v>2.48781712992091</v>
      </c>
      <c r="S32" s="9" t="n">
        <f aca="false">S$5*(1+A_pore*S$6*($A32/100))/(1-S$6*(1+((1-phimax_pore)/phimax_pore^2)*($A32/100))*($A32/100))</f>
        <v>2.49988542409282</v>
      </c>
      <c r="T32" s="9" t="n">
        <f aca="false">T$5*(1+A_pore*T$6*($A32/100))/(1-T$6*(1+((1-phimax_pore)/phimax_pore^2)*($A32/100))*($A32/100))</f>
        <v>2.51224049804989</v>
      </c>
      <c r="U32" s="9" t="n">
        <f aca="false">U$5*(1+A_pore*U$6*($A32/100))/(1-U$6*(1+((1-phimax_pore)/phimax_pore^2)*($A32/100))*($A32/100))</f>
        <v>2.52489324826675</v>
      </c>
      <c r="V32" s="9" t="n">
        <f aca="false">V$5*(1+A_pore*V$6*($A32/100))/(1-V$6*(1+((1-phimax_pore)/phimax_pore^2)*($A32/100))*($A32/100))</f>
        <v>2.53785515507468</v>
      </c>
      <c r="W32" s="9" t="n">
        <f aca="false">W$5*(1+A_pore*W$6*($A32/100))/(1-W$6*(1+((1-phimax_pore)/phimax_pore^2)*($A32/100))*($A32/100))</f>
        <v>2.55113832363986</v>
      </c>
      <c r="X32" s="9" t="n">
        <f aca="false">X$5*(1+A_pore*X$6*($A32/100))/(1-X$6*(1+((1-phimax_pore)/phimax_pore^2)*($A32/100))*($A32/100))</f>
        <v>2.56475552852715</v>
      </c>
      <c r="Y32" s="9" t="n">
        <f aca="false">Y$5*(1+A_pore*Y$6*($A32/100))/(1-Y$6*(1+((1-phimax_pore)/phimax_pore^2)*($A32/100))*($A32/100))</f>
        <v>2.57872026222704</v>
      </c>
      <c r="Z32" s="9" t="n">
        <f aca="false">Z$5*(1+A_pore*Z$6*($A32/100))/(1-Z$6*(1+((1-phimax_pore)/phimax_pore^2)*($A32/100))*($A32/100))</f>
        <v>2.59304678806988</v>
      </c>
      <c r="AA32" s="9" t="n">
        <f aca="false">AA$5*(1+A_pore*AA$6*($A32/100))/(1-AA$6*(1+((1-phimax_pore)/phimax_pore^2)*($A32/100))*($A32/100))</f>
        <v>2.60775019800509</v>
      </c>
      <c r="AB32" s="9" t="n">
        <f aca="false">AB$5*(1+A_pore*AB$6*($A32/100))/(1-AB$6*(1+((1-phimax_pore)/phimax_pore^2)*($A32/100))*($A32/100))</f>
        <v>2.62284647578386</v>
      </c>
      <c r="AC32" s="9" t="n">
        <f aca="false">AC$5*(1+A_pore*AC$6*($A32/100))/(1-AC$6*(1+((1-phimax_pore)/phimax_pore^2)*($A32/100))*($A32/100))</f>
        <v>2.63835256615379</v>
      </c>
      <c r="AD32" s="9" t="n">
        <f aca="false">AD$5*(1+A_pore*AD$6*($A32/100))/(1-AD$6*(1+((1-phimax_pore)/phimax_pore^2)*($A32/100))*($A32/100))</f>
        <v>2.65428645075439</v>
      </c>
      <c r="AE32" s="9" t="n">
        <f aca="false">AE$5*(1+A_pore*AE$6*($A32/100))/(1-AE$6*(1+((1-phimax_pore)/phimax_pore^2)*($A32/100))*($A32/100))</f>
        <v>2.67066723149513</v>
      </c>
      <c r="AF32" s="9" t="n">
        <f aca="false">AF$5*(1+A_pore*AF$6*($A32/100))/(1-AF$6*(1+((1-phimax_pore)/phimax_pore^2)*($A32/100))*($A32/100))</f>
        <v>2.6875152223044</v>
      </c>
      <c r="AG32" s="9" t="n">
        <f aca="false">AG$5*(1+A_pore*AG$6*($A32/100))/(1-AG$6*(1+((1-phimax_pore)/phimax_pore^2)*($A32/100))*($A32/100))</f>
        <v>2.70485205026207</v>
      </c>
      <c r="AH32" s="9" t="n">
        <f aca="false">AH$5*(1+A_pore*AH$6*($A32/100))/(1-AH$6*(1+((1-phimax_pore)/phimax_pore^2)*($A32/100))*($A32/100))</f>
        <v>2.72270076727164</v>
      </c>
      <c r="AI32" s="9" t="n">
        <f aca="false">AI$5*(1+A_pore*AI$6*($A32/100))/(1-AI$6*(1+((1-phimax_pore)/phimax_pore^2)*($A32/100))*($A32/100))</f>
        <v>2.74108597359572</v>
      </c>
      <c r="AJ32" s="9" t="n">
        <f aca="false">AJ$5*(1+A_pore*AJ$6*($A32/100))/(1-AJ$6*(1+((1-phimax_pore)/phimax_pore^2)*($A32/100))*($A32/100))</f>
        <v>2.76003395477329</v>
      </c>
      <c r="AK32" s="9" t="n">
        <f aca="false">AK$5*(1+A_pore*AK$6*($A32/100))/(1-AK$6*(1+((1-phimax_pore)/phimax_pore^2)*($A32/100))*($A32/100))</f>
        <v>2.77957283366594</v>
      </c>
    </row>
    <row r="33" customFormat="false" ht="15" hidden="false" customHeight="false" outlineLevel="0" collapsed="false">
      <c r="A33" s="4" t="n">
        <v>24</v>
      </c>
      <c r="B33" s="9" t="n">
        <f aca="false">B$5*(1+A_pore*B$6*($A33/100))/(1-B$6*(1+((1-phimax_pore)/phimax_pore^2)*($A33/100))*($A33/100))</f>
        <v>2.29182593756711</v>
      </c>
      <c r="C33" s="9" t="n">
        <f aca="false">C$5*(1+A_pore*C$6*($A33/100))/(1-C$6*(1+((1-phimax_pore)/phimax_pore^2)*($A33/100))*($A33/100))</f>
        <v>2.30011526796177</v>
      </c>
      <c r="D33" s="9" t="n">
        <f aca="false">D$5*(1+A_pore*D$6*($A33/100))/(1-D$6*(1+((1-phimax_pore)/phimax_pore^2)*($A33/100))*($A33/100))</f>
        <v>2.30856584067467</v>
      </c>
      <c r="E33" s="9" t="n">
        <f aca="false">E$5*(1+A_pore*E$6*($A33/100))/(1-E$6*(1+((1-phimax_pore)/phimax_pore^2)*($A33/100))*($A33/100))</f>
        <v>2.31718260662579</v>
      </c>
      <c r="F33" s="9" t="n">
        <f aca="false">F$5*(1+A_pore*F$6*($A33/100))/(1-F$6*(1+((1-phimax_pore)/phimax_pore^2)*($A33/100))*($A33/100))</f>
        <v>2.3259707291759</v>
      </c>
      <c r="G33" s="9" t="n">
        <f aca="false">G$5*(1+A_pore*G$6*($A33/100))/(1-G$6*(1+((1-phimax_pore)/phimax_pore^2)*($A33/100))*($A33/100))</f>
        <v>2.33493559600145</v>
      </c>
      <c r="H33" s="9" t="n">
        <f aca="false">H$5*(1+A_pore*H$6*($A33/100))/(1-H$6*(1+((1-phimax_pore)/phimax_pore^2)*($A33/100))*($A33/100))</f>
        <v>2.34408283179453</v>
      </c>
      <c r="I33" s="9" t="n">
        <f aca="false">I$5*(1+A_pore*I$6*($A33/100))/(1-I$6*(1+((1-phimax_pore)/phimax_pore^2)*($A33/100))*($A33/100))</f>
        <v>2.3534183118567</v>
      </c>
      <c r="J33" s="9" t="n">
        <f aca="false">J$5*(1+A_pore*J$6*($A33/100))/(1-J$6*(1+((1-phimax_pore)/phimax_pore^2)*($A33/100))*($A33/100))</f>
        <v>2.36294817666246</v>
      </c>
      <c r="K33" s="9" t="n">
        <f aca="false">K$5*(1+A_pore*K$6*($A33/100))/(1-K$6*(1+((1-phimax_pore)/phimax_pore^2)*($A33/100))*($A33/100))</f>
        <v>2.37267884747527</v>
      </c>
      <c r="L33" s="9" t="n">
        <f aca="false">L$5*(1+A_pore*L$6*($A33/100))/(1-L$6*(1+((1-phimax_pore)/phimax_pore^2)*($A33/100))*($A33/100))</f>
        <v>2.38261704310786</v>
      </c>
      <c r="M33" s="9" t="n">
        <f aca="false">M$5*(1+A_pore*M$6*($A33/100))/(1-M$6*(1+((1-phimax_pore)/phimax_pore^2)*($A33/100))*($A33/100))</f>
        <v>2.39276979792727</v>
      </c>
      <c r="N33" s="9" t="n">
        <f aca="false">N$5*(1+A_pore*N$6*($A33/100))/(1-N$6*(1+((1-phimax_pore)/phimax_pore^2)*($A33/100))*($A33/100))</f>
        <v>2.40314448121618</v>
      </c>
      <c r="O33" s="9" t="n">
        <f aca="false">O$5*(1+A_pore*O$6*($A33/100))/(1-O$6*(1+((1-phimax_pore)/phimax_pore^2)*($A33/100))*($A33/100))</f>
        <v>2.41374881801303</v>
      </c>
      <c r="P33" s="9" t="n">
        <f aca="false">P$5*(1+A_pore*P$6*($A33/100))/(1-P$6*(1+((1-phimax_pore)/phimax_pore^2)*($A33/100))*($A33/100))</f>
        <v>2.4245909115671</v>
      </c>
      <c r="Q33" s="9" t="n">
        <f aca="false">Q$5*(1+A_pore*Q$6*($A33/100))/(1-Q$6*(1+((1-phimax_pore)/phimax_pore^2)*($A33/100))*($A33/100))</f>
        <v>2.43567926755877</v>
      </c>
      <c r="R33" s="9" t="n">
        <f aca="false">R$5*(1+A_pore*R$6*($A33/100))/(1-R$6*(1+((1-phimax_pore)/phimax_pore^2)*($A33/100))*($A33/100))</f>
        <v>2.44702282025213</v>
      </c>
      <c r="S33" s="9" t="n">
        <f aca="false">S$5*(1+A_pore*S$6*($A33/100))/(1-S$6*(1+((1-phimax_pore)/phimax_pore^2)*($A33/100))*($A33/100))</f>
        <v>2.45863096076537</v>
      </c>
      <c r="T33" s="9" t="n">
        <f aca="false">T$5*(1+A_pore*T$6*($A33/100))/(1-T$6*(1+((1-phimax_pore)/phimax_pore^2)*($A33/100))*($A33/100))</f>
        <v>2.47051356766514</v>
      </c>
      <c r="U33" s="9" t="n">
        <f aca="false">U$5*(1+A_pore*U$6*($A33/100))/(1-U$6*(1+((1-phimax_pore)/phimax_pore^2)*($A33/100))*($A33/100))</f>
        <v>2.48268104011503</v>
      </c>
      <c r="V33" s="9" t="n">
        <f aca="false">V$5*(1+A_pore*V$6*($A33/100))/(1-V$6*(1+((1-phimax_pore)/phimax_pore^2)*($A33/100))*($A33/100))</f>
        <v>2.49514433383459</v>
      </c>
      <c r="W33" s="9" t="n">
        <f aca="false">W$5*(1+A_pore*W$6*($A33/100))/(1-W$6*(1+((1-phimax_pore)/phimax_pore^2)*($A33/100))*($A33/100))</f>
        <v>2.50791500015578</v>
      </c>
      <c r="X33" s="9" t="n">
        <f aca="false">X$5*(1+A_pore*X$6*($A33/100))/(1-X$6*(1+((1-phimax_pore)/phimax_pore^2)*($A33/100))*($A33/100))</f>
        <v>2.52100522849804</v>
      </c>
      <c r="Y33" s="9" t="n">
        <f aca="false">Y$5*(1+A_pore*Y$6*($A33/100))/(1-Y$6*(1+((1-phimax_pore)/phimax_pore^2)*($A33/100))*($A33/100))</f>
        <v>2.53442789262218</v>
      </c>
      <c r="Z33" s="9" t="n">
        <f aca="false">Z$5*(1+A_pore*Z$6*($A33/100))/(1-Z$6*(1+((1-phimax_pore)/phimax_pore^2)*($A33/100))*($A33/100))</f>
        <v>2.54819660106784</v>
      </c>
      <c r="AA33" s="9" t="n">
        <f aca="false">AA$5*(1+A_pore*AA$6*($A33/100))/(1-AA$6*(1+((1-phimax_pore)/phimax_pore^2)*($A33/100))*($A33/100))</f>
        <v>2.56232575223015</v>
      </c>
      <c r="AB33" s="9" t="n">
        <f aca="false">AB$5*(1+A_pore*AB$6*($A33/100))/(1-AB$6*(1+((1-phimax_pore)/phimax_pore^2)*($A33/100))*($A33/100))</f>
        <v>2.57683059458947</v>
      </c>
      <c r="AC33" s="9" t="n">
        <f aca="false">AC$5*(1+A_pore*AC$6*($A33/100))/(1-AC$6*(1+((1-phimax_pore)/phimax_pore^2)*($A33/100))*($A33/100))</f>
        <v>2.59172729267478</v>
      </c>
      <c r="AD33" s="9" t="n">
        <f aca="false">AD$5*(1+A_pore*AD$6*($A33/100))/(1-AD$6*(1+((1-phimax_pore)/phimax_pore^2)*($A33/100))*($A33/100))</f>
        <v>2.60703299941817</v>
      </c>
      <c r="AE33" s="9" t="n">
        <f aca="false">AE$5*(1+A_pore*AE$6*($A33/100))/(1-AE$6*(1+((1-phimax_pore)/phimax_pore^2)*($A33/100))*($A33/100))</f>
        <v>2.62276593564625</v>
      </c>
      <c r="AF33" s="9" t="n">
        <f aca="false">AF$5*(1+A_pore*AF$6*($A33/100))/(1-AF$6*(1+((1-phimax_pore)/phimax_pore^2)*($A33/100))*($A33/100))</f>
        <v>2.63894547755654</v>
      </c>
      <c r="AG33" s="9" t="n">
        <f aca="false">AG$5*(1+A_pore*AG$6*($A33/100))/(1-AG$6*(1+((1-phimax_pore)/phimax_pore^2)*($A33/100))*($A33/100))</f>
        <v>2.65559225314516</v>
      </c>
      <c r="AH33" s="9" t="n">
        <f aca="false">AH$5*(1+A_pore*AH$6*($A33/100))/(1-AH$6*(1+((1-phimax_pore)/phimax_pore^2)*($A33/100))*($A33/100))</f>
        <v>2.67272824868944</v>
      </c>
      <c r="AI33" s="9" t="n">
        <f aca="false">AI$5*(1+A_pore*AI$6*($A33/100))/(1-AI$6*(1+((1-phimax_pore)/phimax_pore^2)*($A33/100))*($A33/100))</f>
        <v>2.69037692654869</v>
      </c>
      <c r="AJ33" s="9" t="n">
        <f aca="false">AJ$5*(1+A_pore*AJ$6*($A33/100))/(1-AJ$6*(1+((1-phimax_pore)/phimax_pore^2)*($A33/100))*($A33/100))</f>
        <v>2.70856335573309</v>
      </c>
      <c r="AK33" s="9" t="n">
        <f aca="false">AK$5*(1+A_pore*AK$6*($A33/100))/(1-AK$6*(1+((1-phimax_pore)/phimax_pore^2)*($A33/100))*($A33/100))</f>
        <v>2.72731435690832</v>
      </c>
    </row>
    <row r="34" customFormat="false" ht="15" hidden="false" customHeight="false" outlineLevel="0" collapsed="false">
      <c r="A34" s="4" t="n">
        <v>25</v>
      </c>
      <c r="B34" s="9" t="n">
        <f aca="false">B$5*(1+A_pore*B$6*($A34/100))/(1-B$6*(1+((1-phimax_pore)/phimax_pore^2)*($A34/100))*($A34/100))</f>
        <v>2.25795292116835</v>
      </c>
      <c r="C34" s="9" t="n">
        <f aca="false">C$5*(1+A_pore*C$6*($A34/100))/(1-C$6*(1+((1-phimax_pore)/phimax_pore^2)*($A34/100))*($A34/100))</f>
        <v>2.26594102713188</v>
      </c>
      <c r="D34" s="9" t="n">
        <f aca="false">D$5*(1+A_pore*D$6*($A34/100))/(1-D$6*(1+((1-phimax_pore)/phimax_pore^2)*($A34/100))*($A34/100))</f>
        <v>2.27408375457706</v>
      </c>
      <c r="E34" s="9" t="n">
        <f aca="false">E$5*(1+A_pore*E$6*($A34/100))/(1-E$6*(1+((1-phimax_pore)/phimax_pore^2)*($A34/100))*($A34/100))</f>
        <v>2.28238583602618</v>
      </c>
      <c r="F34" s="9" t="n">
        <f aca="false">F$5*(1+A_pore*F$6*($A34/100))/(1-F$6*(1+((1-phimax_pore)/phimax_pore^2)*($A34/100))*($A34/100))</f>
        <v>2.29085220672281</v>
      </c>
      <c r="G34" s="9" t="n">
        <f aca="false">G$5*(1+A_pore*G$6*($A34/100))/(1-G$6*(1+((1-phimax_pore)/phimax_pore^2)*($A34/100))*($A34/100))</f>
        <v>2.29948801595611</v>
      </c>
      <c r="H34" s="9" t="n">
        <f aca="false">H$5*(1+A_pore*H$6*($A34/100))/(1-H$6*(1+((1-phimax_pore)/phimax_pore^2)*($A34/100))*($A34/100))</f>
        <v>2.30829863917201</v>
      </c>
      <c r="I34" s="9" t="n">
        <f aca="false">I$5*(1+A_pore*I$6*($A34/100))/(1-I$6*(1+((1-phimax_pore)/phimax_pore^2)*($A34/100))*($A34/100))</f>
        <v>2.3172896909368</v>
      </c>
      <c r="J34" s="9" t="n">
        <f aca="false">J$5*(1+A_pore*J$6*($A34/100))/(1-J$6*(1+((1-phimax_pore)/phimax_pore^2)*($A34/100))*($A34/100))</f>
        <v>2.32646703882553</v>
      </c>
      <c r="K34" s="9" t="n">
        <f aca="false">K$5*(1+A_pore*K$6*($A34/100))/(1-K$6*(1+((1-phimax_pore)/phimax_pore^2)*($A34/100))*($A34/100))</f>
        <v>2.3358368183143</v>
      </c>
      <c r="L34" s="9" t="n">
        <f aca="false">L$5*(1+A_pore*L$6*($A34/100))/(1-L$6*(1+((1-phimax_pore)/phimax_pore^2)*($A34/100))*($A34/100))</f>
        <v>2.34540544876384</v>
      </c>
      <c r="M34" s="9" t="n">
        <f aca="false">M$5*(1+A_pore*M$6*($A34/100))/(1-M$6*(1+((1-phimax_pore)/phimax_pore^2)*($A34/100))*($A34/100))</f>
        <v>2.35517965059049</v>
      </c>
      <c r="N34" s="9" t="n">
        <f aca="false">N$5*(1+A_pore*N$6*($A34/100))/(1-N$6*(1+((1-phimax_pore)/phimax_pore^2)*($A34/100))*($A34/100))</f>
        <v>2.36516646373075</v>
      </c>
      <c r="O34" s="9" t="n">
        <f aca="false">O$5*(1+A_pore*O$6*($A34/100))/(1-O$6*(1+((1-phimax_pore)/phimax_pore^2)*($A34/100))*($A34/100))</f>
        <v>2.3753732675165</v>
      </c>
      <c r="P34" s="9" t="n">
        <f aca="false">P$5*(1+A_pore*P$6*($A34/100))/(1-P$6*(1+((1-phimax_pore)/phimax_pore^2)*($A34/100))*($A34/100))</f>
        <v>2.38580780209071</v>
      </c>
      <c r="Q34" s="9" t="n">
        <f aca="false">Q$5*(1+A_pore*Q$6*($A34/100))/(1-Q$6*(1+((1-phimax_pore)/phimax_pore^2)*($A34/100))*($A34/100))</f>
        <v>2.39647819150716</v>
      </c>
      <c r="R34" s="9" t="n">
        <f aca="false">R$5*(1+A_pore*R$6*($A34/100))/(1-R$6*(1+((1-phimax_pore)/phimax_pore^2)*($A34/100))*($A34/100))</f>
        <v>2.40739296867355</v>
      </c>
      <c r="S34" s="9" t="n">
        <f aca="false">S$5*(1+A_pore*S$6*($A34/100))/(1-S$6*(1+((1-phimax_pore)/phimax_pore^2)*($A34/100))*($A34/100))</f>
        <v>2.4185611023151</v>
      </c>
      <c r="T34" s="9" t="n">
        <f aca="false">T$5*(1+A_pore*T$6*($A34/100))/(1-T$6*(1+((1-phimax_pore)/phimax_pore^2)*($A34/100))*($A34/100))</f>
        <v>2.42999202615549</v>
      </c>
      <c r="U34" s="9" t="n">
        <f aca="false">U$5*(1+A_pore*U$6*($A34/100))/(1-U$6*(1+((1-phimax_pore)/phimax_pore^2)*($A34/100))*($A34/100))</f>
        <v>2.4416956705347</v>
      </c>
      <c r="V34" s="9" t="n">
        <f aca="false">V$5*(1+A_pore*V$6*($A34/100))/(1-V$6*(1+((1-phimax_pore)/phimax_pore^2)*($A34/100))*($A34/100))</f>
        <v>2.45368249670868</v>
      </c>
      <c r="W34" s="9" t="n">
        <f aca="false">W$5*(1+A_pore*W$6*($A34/100))/(1-W$6*(1+((1-phimax_pore)/phimax_pore^2)*($A34/100))*($A34/100))</f>
        <v>2.46596353410472</v>
      </c>
      <c r="X34" s="9" t="n">
        <f aca="false">X$5*(1+A_pore*X$6*($A34/100))/(1-X$6*(1+((1-phimax_pore)/phimax_pore^2)*($A34/100))*($A34/100))</f>
        <v>2.47855042083909</v>
      </c>
      <c r="Y34" s="9" t="n">
        <f aca="false">Y$5*(1+A_pore*Y$6*($A34/100))/(1-Y$6*(1+((1-phimax_pore)/phimax_pore^2)*($A34/100))*($A34/100))</f>
        <v>2.49145544784102</v>
      </c>
      <c r="Z34" s="9" t="n">
        <f aca="false">Z$5*(1+A_pore*Z$6*($A34/100))/(1-Z$6*(1+((1-phimax_pore)/phimax_pore^2)*($A34/100))*($A34/100))</f>
        <v>2.50469160696939</v>
      </c>
      <c r="AA34" s="9" t="n">
        <f aca="false">AA$5*(1+A_pore*AA$6*($A34/100))/(1-AA$6*(1+((1-phimax_pore)/phimax_pore^2)*($A34/100))*($A34/100))</f>
        <v>2.51827264355729</v>
      </c>
      <c r="AB34" s="9" t="n">
        <f aca="false">AB$5*(1+A_pore*AB$6*($A34/100))/(1-AB$6*(1+((1-phimax_pore)/phimax_pore^2)*($A34/100))*($A34/100))</f>
        <v>2.53221311387517</v>
      </c>
      <c r="AC34" s="9" t="n">
        <f aca="false">AC$5*(1+A_pore*AC$6*($A34/100))/(1-AC$6*(1+((1-phimax_pore)/phimax_pore^2)*($A34/100))*($A34/100))</f>
        <v>2.54652844806708</v>
      </c>
      <c r="AD34" s="9" t="n">
        <f aca="false">AD$5*(1+A_pore*AD$6*($A34/100))/(1-AD$6*(1+((1-phimax_pore)/phimax_pore^2)*($A34/100))*($A34/100))</f>
        <v>2.56123501918797</v>
      </c>
      <c r="AE34" s="9" t="n">
        <f aca="false">AE$5*(1+A_pore*AE$6*($A34/100))/(1-AE$6*(1+((1-phimax_pore)/phimax_pore^2)*($A34/100))*($A34/100))</f>
        <v>2.57635021905427</v>
      </c>
      <c r="AF34" s="9" t="n">
        <f aca="false">AF$5*(1+A_pore*AF$6*($A34/100))/(1-AF$6*(1+((1-phimax_pore)/phimax_pore^2)*($A34/100))*($A34/100))</f>
        <v>2.59189254171812</v>
      </c>
      <c r="AG34" s="9" t="n">
        <f aca="false">AG$5*(1+A_pore*AG$6*($A34/100))/(1-AG$6*(1+((1-phimax_pore)/phimax_pore^2)*($A34/100))*($A34/100))</f>
        <v>2.60788167548809</v>
      </c>
      <c r="AH34" s="9" t="n">
        <f aca="false">AH$5*(1+A_pore*AH$6*($A34/100))/(1-AH$6*(1+((1-phimax_pore)/phimax_pore^2)*($A34/100))*($A34/100))</f>
        <v>2.62433860455086</v>
      </c>
      <c r="AI34" s="9" t="n">
        <f aca="false">AI$5*(1+A_pore*AI$6*($A34/100))/(1-AI$6*(1+((1-phimax_pore)/phimax_pore^2)*($A34/100))*($A34/100))</f>
        <v>2.64128572140083</v>
      </c>
      <c r="AJ34" s="9" t="n">
        <f aca="false">AJ$5*(1+A_pore*AJ$6*($A34/100))/(1-AJ$6*(1+((1-phimax_pore)/phimax_pore^2)*($A34/100))*($A34/100))</f>
        <v>2.6587469514628</v>
      </c>
      <c r="AK34" s="9" t="n">
        <f aca="false">AK$5*(1+A_pore*AK$6*($A34/100))/(1-AK$6*(1+((1-phimax_pore)/phimax_pore^2)*($A34/100))*($A34/100))</f>
        <v>2.67674789150145</v>
      </c>
    </row>
    <row r="35" customFormat="false" ht="15" hidden="false" customHeight="false" outlineLevel="0" collapsed="false">
      <c r="A35" s="4" t="n">
        <v>26</v>
      </c>
      <c r="B35" s="9" t="n">
        <f aca="false">B$5*(1+A_pore*B$6*($A35/100))/(1-B$6*(1+((1-phimax_pore)/phimax_pore^2)*($A35/100))*($A35/100))</f>
        <v>2.22495517046316</v>
      </c>
      <c r="C35" s="9" t="n">
        <f aca="false">C$5*(1+A_pore*C$6*($A35/100))/(1-C$6*(1+((1-phimax_pore)/phimax_pore^2)*($A35/100))*($A35/100))</f>
        <v>2.23265419638486</v>
      </c>
      <c r="D35" s="9" t="n">
        <f aca="false">D$5*(1+A_pore*D$6*($A35/100))/(1-D$6*(1+((1-phimax_pore)/phimax_pore^2)*($A35/100))*($A35/100))</f>
        <v>2.24050153995083</v>
      </c>
      <c r="E35" s="9" t="n">
        <f aca="false">E$5*(1+A_pore*E$6*($A35/100))/(1-E$6*(1+((1-phimax_pore)/phimax_pore^2)*($A35/100))*($A35/100))</f>
        <v>2.24850172696915</v>
      </c>
      <c r="F35" s="9" t="n">
        <f aca="false">F$5*(1+A_pore*F$6*($A35/100))/(1-F$6*(1+((1-phimax_pore)/phimax_pore^2)*($A35/100))*($A35/100))</f>
        <v>2.25665947680835</v>
      </c>
      <c r="G35" s="9" t="n">
        <f aca="false">G$5*(1+A_pore*G$6*($A35/100))/(1-G$6*(1+((1-phimax_pore)/phimax_pore^2)*($A35/100))*($A35/100))</f>
        <v>2.26497971320417</v>
      </c>
      <c r="H35" s="9" t="n">
        <f aca="false">H$5*(1+A_pore*H$6*($A35/100))/(1-H$6*(1+((1-phimax_pore)/phimax_pore^2)*($A35/100))*($A35/100))</f>
        <v>2.27346757581732</v>
      </c>
      <c r="I35" s="9" t="n">
        <f aca="false">I$5*(1+A_pore*I$6*($A35/100))/(1-I$6*(1+((1-phimax_pore)/phimax_pore^2)*($A35/100))*($A35/100))</f>
        <v>2.28212843260499</v>
      </c>
      <c r="J35" s="9" t="n">
        <f aca="false">J$5*(1+A_pore*J$6*($A35/100))/(1-J$6*(1+((1-phimax_pore)/phimax_pore^2)*($A35/100))*($A35/100))</f>
        <v>2.29096789307475</v>
      </c>
      <c r="K35" s="9" t="n">
        <f aca="false">K$5*(1+A_pore*K$6*($A35/100))/(1-K$6*(1+((1-phimax_pore)/phimax_pore^2)*($A35/100))*($A35/100))</f>
        <v>2.29999182249692</v>
      </c>
      <c r="L35" s="9" t="n">
        <f aca="false">L$5*(1+A_pore*L$6*($A35/100))/(1-L$6*(1+((1-phimax_pore)/phimax_pore^2)*($A35/100))*($A35/100))</f>
        <v>2.3092063571585</v>
      </c>
      <c r="M35" s="9" t="n">
        <f aca="false">M$5*(1+A_pore*M$6*($A35/100))/(1-M$6*(1+((1-phimax_pore)/phimax_pore^2)*($A35/100))*($A35/100))</f>
        <v>2.31861792075059</v>
      </c>
      <c r="N35" s="9" t="n">
        <f aca="false">N$5*(1+A_pore*N$6*($A35/100))/(1-N$6*(1+((1-phimax_pore)/phimax_pore^2)*($A35/100))*($A35/100))</f>
        <v>2.32823324199061</v>
      </c>
      <c r="O35" s="9" t="n">
        <f aca="false">O$5*(1+A_pore*O$6*($A35/100))/(1-O$6*(1+((1-phimax_pore)/phimax_pore^2)*($A35/100))*($A35/100))</f>
        <v>2.3380593735913</v>
      </c>
      <c r="P35" s="9" t="n">
        <f aca="false">P$5*(1+A_pore*P$6*($A35/100))/(1-P$6*(1+((1-phimax_pore)/phimax_pore^2)*($A35/100))*($A35/100))</f>
        <v>2.34810371270035</v>
      </c>
      <c r="Q35" s="9" t="n">
        <f aca="false">Q$5*(1+A_pore*Q$6*($A35/100))/(1-Q$6*(1+((1-phimax_pore)/phimax_pore^2)*($A35/100))*($A35/100))</f>
        <v>2.35837402294782</v>
      </c>
      <c r="R35" s="9" t="n">
        <f aca="false">R$5*(1+A_pore*R$6*($A35/100))/(1-R$6*(1+((1-phimax_pore)/phimax_pore^2)*($A35/100))*($A35/100))</f>
        <v>2.3688784582536</v>
      </c>
      <c r="S35" s="9" t="n">
        <f aca="false">S$5*(1+A_pore*S$6*($A35/100))/(1-S$6*(1+((1-phimax_pore)/phimax_pore^2)*($A35/100))*($A35/100))</f>
        <v>2.37962558856405</v>
      </c>
      <c r="T35" s="9" t="n">
        <f aca="false">T$5*(1+A_pore*T$6*($A35/100))/(1-T$6*(1+((1-phimax_pore)/phimax_pore^2)*($A35/100))*($A35/100))</f>
        <v>2.39062442770593</v>
      </c>
      <c r="U35" s="9" t="n">
        <f aca="false">U$5*(1+A_pore*U$6*($A35/100))/(1-U$6*(1+((1-phimax_pore)/phimax_pore^2)*($A35/100))*($A35/100))</f>
        <v>2.40188446356735</v>
      </c>
      <c r="V35" s="9" t="n">
        <f aca="false">V$5*(1+A_pore*V$6*($A35/100))/(1-V$6*(1+((1-phimax_pore)/phimax_pore^2)*($A35/100))*($A35/100))</f>
        <v>2.4134156908398</v>
      </c>
      <c r="W35" s="9" t="n">
        <f aca="false">W$5*(1+A_pore*W$6*($A35/100))/(1-W$6*(1+((1-phimax_pore)/phimax_pore^2)*($A35/100))*($A35/100))</f>
        <v>2.42522864658288</v>
      </c>
      <c r="X35" s="9" t="n">
        <f aca="false">X$5*(1+A_pore*X$6*($A35/100))/(1-X$6*(1+((1-phimax_pore)/phimax_pore^2)*($A35/100))*($A35/100))</f>
        <v>2.43733444890475</v>
      </c>
      <c r="Y35" s="9" t="n">
        <f aca="false">Y$5*(1+A_pore*Y$6*($A35/100))/(1-Y$6*(1+((1-phimax_pore)/phimax_pore^2)*($A35/100))*($A35/100))</f>
        <v>2.44974483908703</v>
      </c>
      <c r="Z35" s="9" t="n">
        <f aca="false">Z$5*(1+A_pore*Z$6*($A35/100))/(1-Z$6*(1+((1-phimax_pore)/phimax_pore^2)*($A35/100))*($A35/100))</f>
        <v>2.46247222752346</v>
      </c>
      <c r="AA35" s="9" t="n">
        <f aca="false">AA$5*(1+A_pore*AA$6*($A35/100))/(1-AA$6*(1+((1-phimax_pore)/phimax_pore^2)*($A35/100))*($A35/100))</f>
        <v>2.47552974388818</v>
      </c>
      <c r="AB35" s="9" t="n">
        <f aca="false">AB$5*(1+A_pore*AB$6*($A35/100))/(1-AB$6*(1+((1-phimax_pore)/phimax_pore^2)*($A35/100))*($A35/100))</f>
        <v>2.4889312920027</v>
      </c>
      <c r="AC35" s="9" t="n">
        <f aca="false">AC$5*(1+A_pore*AC$6*($A35/100))/(1-AC$6*(1+((1-phimax_pore)/phimax_pore^2)*($A35/100))*($A35/100))</f>
        <v>2.50269160993148</v>
      </c>
      <c r="AD35" s="9" t="n">
        <f aca="false">AD$5*(1+A_pore*AD$6*($A35/100))/(1-AD$6*(1+((1-phimax_pore)/phimax_pore^2)*($A35/100))*($A35/100))</f>
        <v>2.51682633590643</v>
      </c>
      <c r="AE35" s="9" t="n">
        <f aca="false">AE$5*(1+A_pore*AE$6*($A35/100))/(1-AE$6*(1+((1-phimax_pore)/phimax_pore^2)*($A35/100))*($A35/100))</f>
        <v>2.5313520807614</v>
      </c>
      <c r="AF35" s="9" t="n">
        <f aca="false">AF$5*(1+A_pore*AF$6*($A35/100))/(1-AF$6*(1+((1-phimax_pore)/phimax_pore^2)*($A35/100))*($A35/100))</f>
        <v>2.54628650765098</v>
      </c>
      <c r="AG35" s="9" t="n">
        <f aca="false">AG$5*(1+A_pore*AG$6*($A35/100))/(1-AG$6*(1+((1-phimax_pore)/phimax_pore^2)*($A35/100))*($A35/100))</f>
        <v>2.56164841993629</v>
      </c>
      <c r="AH35" s="9" t="n">
        <f aca="false">AH$5*(1+A_pore*AH$6*($A35/100))/(1-AH$6*(1+((1-phimax_pore)/phimax_pore^2)*($A35/100))*($A35/100))</f>
        <v>2.57745785824579</v>
      </c>
      <c r="AI35" s="9" t="n">
        <f aca="false">AI$5*(1+A_pore*AI$6*($A35/100))/(1-AI$6*(1+((1-phimax_pore)/phimax_pore^2)*($A35/100))*($A35/100))</f>
        <v>2.59373620786523</v>
      </c>
      <c r="AJ35" s="9" t="n">
        <f aca="false">AJ$5*(1+A_pore*AJ$6*($A35/100))/(1-AJ$6*(1+((1-phimax_pore)/phimax_pore^2)*($A35/100))*($A35/100))</f>
        <v>2.61050631778132</v>
      </c>
      <c r="AK35" s="9" t="n">
        <f aca="false">AK$5*(1+A_pore*AK$6*($A35/100))/(1-AK$6*(1+((1-phimax_pore)/phimax_pore^2)*($A35/100))*($A35/100))</f>
        <v>2.62779263290314</v>
      </c>
    </row>
    <row r="36" customFormat="false" ht="15" hidden="false" customHeight="false" outlineLevel="0" collapsed="false">
      <c r="A36" s="4" t="n">
        <v>27</v>
      </c>
      <c r="B36" s="9" t="n">
        <f aca="false">B$5*(1+A_pore*B$6*($A36/100))/(1-B$6*(1+((1-phimax_pore)/phimax_pore^2)*($A36/100))*($A36/100))</f>
        <v>2.19279922290734</v>
      </c>
      <c r="C36" s="9" t="n">
        <f aca="false">C$5*(1+A_pore*C$6*($A36/100))/(1-C$6*(1+((1-phimax_pore)/phimax_pore^2)*($A36/100))*($A36/100))</f>
        <v>2.20022068338893</v>
      </c>
      <c r="D36" s="9" t="n">
        <f aca="false">D$5*(1+A_pore*D$6*($A36/100))/(1-D$6*(1+((1-phimax_pore)/phimax_pore^2)*($A36/100))*($A36/100))</f>
        <v>2.20778445536279</v>
      </c>
      <c r="E36" s="9" t="n">
        <f aca="false">E$5*(1+A_pore*E$6*($A36/100))/(1-E$6*(1+((1-phimax_pore)/phimax_pore^2)*($A36/100))*($A36/100))</f>
        <v>2.21549486880774</v>
      </c>
      <c r="F36" s="9" t="n">
        <f aca="false">F$5*(1+A_pore*F$6*($A36/100))/(1-F$6*(1+((1-phimax_pore)/phimax_pore^2)*($A36/100))*($A36/100))</f>
        <v>2.22335643861918</v>
      </c>
      <c r="G36" s="9" t="n">
        <f aca="false">G$5*(1+A_pore*G$6*($A36/100))/(1-G$6*(1+((1-phimax_pore)/phimax_pore^2)*($A36/100))*($A36/100))</f>
        <v>2.23137387492893</v>
      </c>
      <c r="H36" s="9" t="n">
        <f aca="false">H$5*(1+A_pore*H$6*($A36/100))/(1-H$6*(1+((1-phimax_pore)/phimax_pore^2)*($A36/100))*($A36/100))</f>
        <v>2.23955209414215</v>
      </c>
      <c r="I36" s="9" t="n">
        <f aca="false">I$5*(1+A_pore*I$6*($A36/100))/(1-I$6*(1+((1-phimax_pore)/phimax_pore^2)*($A36/100))*($A36/100))</f>
        <v>2.24789623075157</v>
      </c>
      <c r="J36" s="9" t="n">
        <f aca="false">J$5*(1+A_pore*J$6*($A36/100))/(1-J$6*(1+((1-phimax_pore)/phimax_pore^2)*($A36/100))*($A36/100))</f>
        <v>2.25641164999458</v>
      </c>
      <c r="K36" s="9" t="n">
        <f aca="false">K$5*(1+A_pore*K$6*($A36/100))/(1-K$6*(1+((1-phimax_pore)/phimax_pore^2)*($A36/100))*($A36/100))</f>
        <v>2.26510396142583</v>
      </c>
      <c r="L36" s="9" t="n">
        <f aca="false">L$5*(1+A_pore*L$6*($A36/100))/(1-L$6*(1+((1-phimax_pore)/phimax_pore^2)*($A36/100))*($A36/100))</f>
        <v>2.27397903348474</v>
      </c>
      <c r="M36" s="9" t="n">
        <f aca="false">M$5*(1+A_pore*M$6*($A36/100))/(1-M$6*(1+((1-phimax_pore)/phimax_pore^2)*($A36/100))*($A36/100))</f>
        <v>2.28304300914584</v>
      </c>
      <c r="N36" s="9" t="n">
        <f aca="false">N$5*(1+A_pore*N$6*($A36/100))/(1-N$6*(1+((1-phimax_pore)/phimax_pore^2)*($A36/100))*($A36/100))</f>
        <v>2.29230232274878</v>
      </c>
      <c r="O36" s="9" t="n">
        <f aca="false">O$5*(1+A_pore*O$6*($A36/100))/(1-O$6*(1+((1-phimax_pore)/phimax_pore^2)*($A36/100))*($A36/100))</f>
        <v>2.30176371811491</v>
      </c>
      <c r="P36" s="9" t="n">
        <f aca="false">P$5*(1+A_pore*P$6*($A36/100))/(1-P$6*(1+((1-phimax_pore)/phimax_pore^2)*($A36/100))*($A36/100))</f>
        <v>2.31143426806902</v>
      </c>
      <c r="Q36" s="9" t="n">
        <f aca="false">Q$5*(1+A_pore*Q$6*($A36/100))/(1-Q$6*(1+((1-phimax_pore)/phimax_pore^2)*($A36/100))*($A36/100))</f>
        <v>2.3213213954971</v>
      </c>
      <c r="R36" s="9" t="n">
        <f aca="false">R$5*(1+A_pore*R$6*($A36/100))/(1-R$6*(1+((1-phimax_pore)/phimax_pore^2)*($A36/100))*($A36/100))</f>
        <v>2.33143289608601</v>
      </c>
      <c r="S36" s="9" t="n">
        <f aca="false">S$5*(1+A_pore*S$6*($A36/100))/(1-S$6*(1+((1-phimax_pore)/phimax_pore^2)*($A36/100))*($A36/100))</f>
        <v>2.34177696290634</v>
      </c>
      <c r="T36" s="9" t="n">
        <f aca="false">T$5*(1+A_pore*T$6*($A36/100))/(1-T$6*(1+((1-phimax_pore)/phimax_pore^2)*($A36/100))*($A36/100))</f>
        <v>2.35236221301877</v>
      </c>
      <c r="U36" s="9" t="n">
        <f aca="false">U$5*(1+A_pore*U$6*($A36/100))/(1-U$6*(1+((1-phimax_pore)/phimax_pore^2)*($A36/100))*($A36/100))</f>
        <v>2.363197716304</v>
      </c>
      <c r="V36" s="9" t="n">
        <f aca="false">V$5*(1+A_pore*V$6*($A36/100))/(1-V$6*(1+((1-phimax_pore)/phimax_pore^2)*($A36/100))*($A36/100))</f>
        <v>2.37429302674048</v>
      </c>
      <c r="W36" s="9" t="n">
        <f aca="false">W$5*(1+A_pore*W$6*($A36/100))/(1-W$6*(1+((1-phimax_pore)/phimax_pore^2)*($A36/100))*($A36/100))</f>
        <v>2.38565821637977</v>
      </c>
      <c r="X36" s="9" t="n">
        <f aca="false">X$5*(1+A_pore*X$6*($A36/100))/(1-X$6*(1+((1-phimax_pore)/phimax_pore^2)*($A36/100))*($A36/100))</f>
        <v>2.39730391229998</v>
      </c>
      <c r="Y36" s="9" t="n">
        <f aca="false">Y$5*(1+A_pore*Y$6*($A36/100))/(1-Y$6*(1+((1-phimax_pore)/phimax_pore^2)*($A36/100))*($A36/100))</f>
        <v>2.4092413368516</v>
      </c>
      <c r="Z36" s="9" t="n">
        <f aca="false">Z$5*(1+A_pore*Z$6*($A36/100))/(1-Z$6*(1+((1-phimax_pore)/phimax_pore^2)*($A36/100))*($A36/100))</f>
        <v>2.42148235154883</v>
      </c>
      <c r="AA36" s="9" t="n">
        <f aca="false">AA$5*(1+A_pore*AA$6*($A36/100))/(1-AA$6*(1+((1-phimax_pore)/phimax_pore^2)*($A36/100))*($A36/100))</f>
        <v>2.43403950500443</v>
      </c>
      <c r="AB36" s="9" t="n">
        <f aca="false">AB$5*(1+A_pore*AB$6*($A36/100))/(1-AB$6*(1+((1-phimax_pore)/phimax_pore^2)*($A36/100))*($A36/100))</f>
        <v>2.44692608535636</v>
      </c>
      <c r="AC36" s="9" t="n">
        <f aca="false">AC$5*(1+A_pore*AC$6*($A36/100))/(1-AC$6*(1+((1-phimax_pore)/phimax_pore^2)*($A36/100))*($A36/100))</f>
        <v>2.46015617769363</v>
      </c>
      <c r="AD36" s="9" t="n">
        <f aca="false">AD$5*(1+A_pore*AD$6*($A36/100))/(1-AD$6*(1+((1-phimax_pore)/phimax_pore^2)*($A36/100))*($A36/100))</f>
        <v>2.47374472705524</v>
      </c>
      <c r="AE36" s="9" t="n">
        <f aca="false">AE$5*(1+A_pore*AE$6*($A36/100))/(1-AE$6*(1+((1-phimax_pore)/phimax_pore^2)*($A36/100))*($A36/100))</f>
        <v>2.48770760765388</v>
      </c>
      <c r="AF36" s="9" t="n">
        <f aca="false">AF$5*(1+A_pore*AF$6*($A36/100))/(1-AF$6*(1+((1-phimax_pore)/phimax_pore^2)*($A36/100))*($A36/100))</f>
        <v>2.50206169906546</v>
      </c>
      <c r="AG36" s="9" t="n">
        <f aca="false">AG$5*(1+A_pore*AG$6*($A36/100))/(1-AG$6*(1+((1-phimax_pore)/phimax_pore^2)*($A36/100))*($A36/100))</f>
        <v>2.51682497022862</v>
      </c>
      <c r="AH36" s="9" t="n">
        <f aca="false">AH$5*(1+A_pore*AH$6*($A36/100))/(1-AH$6*(1+((1-phimax_pore)/phimax_pore^2)*($A36/100))*($A36/100))</f>
        <v>2.53201657221917</v>
      </c>
      <c r="AI36" s="9" t="n">
        <f aca="false">AI$5*(1+A_pore*AI$6*($A36/100))/(1-AI$6*(1+((1-phimax_pore)/phimax_pore^2)*($A36/100))*($A36/100))</f>
        <v>2.54765694090356</v>
      </c>
      <c r="AJ36" s="9" t="n">
        <f aca="false">AJ$5*(1+A_pore*AJ$6*($A36/100))/(1-AJ$6*(1+((1-phimax_pore)/phimax_pore^2)*($A36/100))*($A36/100))</f>
        <v>2.56376791073921</v>
      </c>
      <c r="AK36" s="9" t="n">
        <f aca="false">AK$5*(1+A_pore*AK$6*($A36/100))/(1-AK$6*(1+((1-phimax_pore)/phimax_pore^2)*($A36/100))*($A36/100))</f>
        <v>2.58037284118005</v>
      </c>
    </row>
    <row r="37" customFormat="false" ht="15" hidden="false" customHeight="false" outlineLevel="0" collapsed="false">
      <c r="A37" s="4" t="n">
        <v>28</v>
      </c>
      <c r="B37" s="9" t="n">
        <f aca="false">B$5*(1+A_pore*B$6*($A37/100))/(1-B$6*(1+((1-phimax_pore)/phimax_pore^2)*($A37/100))*($A37/100))</f>
        <v>2.16145330023608</v>
      </c>
      <c r="C37" s="9" t="n">
        <f aca="false">C$5*(1+A_pore*C$6*($A37/100))/(1-C$6*(1+((1-phimax_pore)/phimax_pore^2)*($A37/100))*($A37/100))</f>
        <v>2.1686081200556</v>
      </c>
      <c r="D37" s="9" t="n">
        <f aca="false">D$5*(1+A_pore*D$6*($A37/100))/(1-D$6*(1+((1-phimax_pore)/phimax_pore^2)*($A37/100))*($A37/100))</f>
        <v>2.17589952500057</v>
      </c>
      <c r="E37" s="9" t="n">
        <f aca="false">E$5*(1+A_pore*E$6*($A37/100))/(1-E$6*(1+((1-phimax_pore)/phimax_pore^2)*($A37/100))*($A37/100))</f>
        <v>2.18333165937192</v>
      </c>
      <c r="F37" s="9" t="n">
        <f aca="false">F$5*(1+A_pore*F$6*($A37/100))/(1-F$6*(1+((1-phimax_pore)/phimax_pore^2)*($A37/100))*($A37/100))</f>
        <v>2.19090884422255</v>
      </c>
      <c r="G37" s="9" t="n">
        <f aca="false">G$5*(1+A_pore*G$6*($A37/100))/(1-G$6*(1+((1-phimax_pore)/phimax_pore^2)*($A37/100))*($A37/100))</f>
        <v>2.19863558721817</v>
      </c>
      <c r="H37" s="9" t="n">
        <f aca="false">H$5*(1+A_pore*H$6*($A37/100))/(1-H$6*(1+((1-phimax_pore)/phimax_pore^2)*($A37/100))*($A37/100))</f>
        <v>2.20651659318357</v>
      </c>
      <c r="I37" s="9" t="n">
        <f aca="false">I$5*(1+A_pore*I$6*($A37/100))/(1-I$6*(1+((1-phimax_pore)/phimax_pore^2)*($A37/100))*($A37/100))</f>
        <v>2.21455677539172</v>
      </c>
      <c r="J37" s="9" t="n">
        <f aca="false">J$5*(1+A_pore*J$6*($A37/100))/(1-J$6*(1+((1-phimax_pore)/phimax_pore^2)*($A37/100))*($A37/100))</f>
        <v>2.22276126765866</v>
      </c>
      <c r="K37" s="9" t="n">
        <f aca="false">K$5*(1+A_pore*K$6*($A37/100))/(1-K$6*(1+((1-phimax_pore)/phimax_pore^2)*($A37/100))*($A37/100))</f>
        <v>2.23113543731331</v>
      </c>
      <c r="L37" s="9" t="n">
        <f aca="false">L$5*(1+A_pore*L$6*($A37/100))/(1-L$6*(1+((1-phimax_pore)/phimax_pore^2)*($A37/100))*($A37/100))</f>
        <v>2.23968489911846</v>
      </c>
      <c r="M37" s="9" t="n">
        <f aca="false">M$5*(1+A_pore*M$6*($A37/100))/(1-M$6*(1+((1-phimax_pore)/phimax_pore^2)*($A37/100))*($A37/100))</f>
        <v>2.24841553022682</v>
      </c>
      <c r="N37" s="9" t="n">
        <f aca="false">N$5*(1+A_pore*N$6*($A37/100))/(1-N$6*(1+((1-phimax_pore)/phimax_pore^2)*($A37/100))*($A37/100))</f>
        <v>2.25733348626483</v>
      </c>
      <c r="O37" s="9" t="n">
        <f aca="false">O$5*(1+A_pore*O$6*($A37/100))/(1-O$6*(1+((1-phimax_pore)/phimax_pore^2)*($A37/100))*($A37/100))</f>
        <v>2.26644521864651</v>
      </c>
      <c r="P37" s="9" t="n">
        <f aca="false">P$5*(1+A_pore*P$6*($A37/100))/(1-P$6*(1+((1-phimax_pore)/phimax_pore^2)*($A37/100))*($A37/100))</f>
        <v>2.27575749323064</v>
      </c>
      <c r="Q37" s="9" t="n">
        <f aca="false">Q$5*(1+A_pore*Q$6*($A37/100))/(1-Q$6*(1+((1-phimax_pore)/phimax_pore^2)*($A37/100))*($A37/100))</f>
        <v>2.28527741044677</v>
      </c>
      <c r="R37" s="9" t="n">
        <f aca="false">R$5*(1+A_pore*R$6*($A37/100))/(1-R$6*(1+((1-phimax_pore)/phimax_pore^2)*($A37/100))*($A37/100))</f>
        <v>2.29501242702919</v>
      </c>
      <c r="S37" s="9" t="n">
        <f aca="false">S$5*(1+A_pore*S$6*($A37/100))/(1-S$6*(1+((1-phimax_pore)/phimax_pore^2)*($A37/100))*($A37/100))</f>
        <v>2.30497037951358</v>
      </c>
      <c r="T37" s="9" t="n">
        <f aca="false">T$5*(1+A_pore*T$6*($A37/100))/(1-T$6*(1+((1-phimax_pore)/phimax_pore^2)*($A37/100))*($A37/100))</f>
        <v>2.31515950966852</v>
      </c>
      <c r="U37" s="9" t="n">
        <f aca="false">U$5*(1+A_pore*U$6*($A37/100))/(1-U$6*(1+((1-phimax_pore)/phimax_pore^2)*($A37/100))*($A37/100))</f>
        <v>2.32558849205363</v>
      </c>
      <c r="V37" s="9" t="n">
        <f aca="false">V$5*(1+A_pore*V$6*($A37/100))/(1-V$6*(1+((1-phimax_pore)/phimax_pore^2)*($A37/100))*($A37/100))</f>
        <v>2.33626646391848</v>
      </c>
      <c r="W37" s="9" t="n">
        <f aca="false">W$5*(1+A_pore*W$6*($A37/100))/(1-W$6*(1+((1-phimax_pore)/phimax_pore^2)*($A37/100))*($A37/100))</f>
        <v>2.34720305768182</v>
      </c>
      <c r="X37" s="9" t="n">
        <f aca="false">X$5*(1+A_pore*X$6*($A37/100))/(1-X$6*(1+((1-phimax_pore)/phimax_pore^2)*($A37/100))*($A37/100))</f>
        <v>2.3584084362591</v>
      </c>
      <c r="Y37" s="9" t="n">
        <f aca="false">Y$5*(1+A_pore*Y$6*($A37/100))/(1-Y$6*(1+((1-phimax_pore)/phimax_pore^2)*($A37/100))*($A37/100))</f>
        <v>2.36989333153936</v>
      </c>
      <c r="Z37" s="9" t="n">
        <f aca="false">Z$5*(1+A_pore*Z$6*($A37/100))/(1-Z$6*(1+((1-phimax_pore)/phimax_pore^2)*($A37/100))*($A37/100))</f>
        <v>2.38166908634936</v>
      </c>
      <c r="AA37" s="9" t="n">
        <f aca="false">AA$5*(1+A_pore*AA$6*($A37/100))/(1-AA$6*(1+((1-phimax_pore)/phimax_pore^2)*($A37/100))*($A37/100))</f>
        <v>2.39374770028583</v>
      </c>
      <c r="AB37" s="9" t="n">
        <f aca="false">AB$5*(1+A_pore*AB$6*($A37/100))/(1-AB$6*(1+((1-phimax_pore)/phimax_pore^2)*($A37/100))*($A37/100))</f>
        <v>2.40614187984522</v>
      </c>
      <c r="AC37" s="9" t="n">
        <f aca="false">AC$5*(1+A_pore*AC$6*($A37/100))/(1-AC$6*(1+((1-phimax_pore)/phimax_pore^2)*($A37/100))*($A37/100))</f>
        <v>2.41886509333625</v>
      </c>
      <c r="AD37" s="9" t="n">
        <f aca="false">AD$5*(1+A_pore*AD$6*($A37/100))/(1-AD$6*(1+((1-phimax_pore)/phimax_pore^2)*($A37/100))*($A37/100))</f>
        <v>2.43193163112505</v>
      </c>
      <c r="AE37" s="9" t="n">
        <f aca="false">AE$5*(1+A_pore*AE$6*($A37/100))/(1-AE$6*(1+((1-phimax_pore)/phimax_pore^2)*($A37/100))*($A37/100))</f>
        <v>2.44535667183664</v>
      </c>
      <c r="AF37" s="9" t="n">
        <f aca="false">AF$5*(1+A_pore*AF$6*($A37/100))/(1-AF$6*(1+((1-phimax_pore)/phimax_pore^2)*($A37/100))*($A37/100))</f>
        <v>2.45915635522211</v>
      </c>
      <c r="AG37" s="9" t="n">
        <f aca="false">AG$5*(1+A_pore*AG$6*($A37/100))/(1-AG$6*(1+((1-phimax_pore)/phimax_pore^2)*($A37/100))*($A37/100))</f>
        <v>2.47334786250015</v>
      </c>
      <c r="AH37" s="9" t="n">
        <f aca="false">AH$5*(1+A_pore*AH$6*($A37/100))/(1-AH$6*(1+((1-phimax_pore)/phimax_pore^2)*($A37/100))*($A37/100))</f>
        <v>2.48794950509647</v>
      </c>
      <c r="AI37" s="9" t="n">
        <f aca="false">AI$5*(1+A_pore*AI$6*($A37/100))/(1-AI$6*(1+((1-phimax_pore)/phimax_pore^2)*($A37/100))*($A37/100))</f>
        <v>2.50298082283875</v>
      </c>
      <c r="AJ37" s="9" t="n">
        <f aca="false">AJ$5*(1+A_pore*AJ$6*($A37/100))/(1-AJ$6*(1+((1-phimax_pore)/phimax_pore^2)*($A37/100))*($A37/100))</f>
        <v>2.51846269282106</v>
      </c>
      <c r="AK37" s="9" t="n">
        <f aca="false">AK$5*(1+A_pore*AK$6*($A37/100))/(1-AK$6*(1+((1-phimax_pore)/phimax_pore^2)*($A37/100))*($A37/100))</f>
        <v>2.53441745033448</v>
      </c>
    </row>
    <row r="38" customFormat="false" ht="15" hidden="false" customHeight="false" outlineLevel="0" collapsed="false">
      <c r="A38" s="4" t="n">
        <v>29</v>
      </c>
      <c r="B38" s="9" t="n">
        <f aca="false">B$5*(1+A_pore*B$6*($A38/100))/(1-B$6*(1+((1-phimax_pore)/phimax_pore^2)*($A38/100))*($A38/100))</f>
        <v>2.13088720381171</v>
      </c>
      <c r="C38" s="9" t="n">
        <f aca="false">C$5*(1+A_pore*C$6*($A38/100))/(1-C$6*(1+((1-phimax_pore)/phimax_pore^2)*($A38/100))*($A38/100))</f>
        <v>2.13778575489473</v>
      </c>
      <c r="D38" s="9" t="n">
        <f aca="false">D$5*(1+A_pore*D$6*($A38/100))/(1-D$6*(1+((1-phimax_pore)/phimax_pore^2)*($A38/100))*($A38/100))</f>
        <v>2.14481542791485</v>
      </c>
      <c r="E38" s="9" t="n">
        <f aca="false">E$5*(1+A_pore*E$6*($A38/100))/(1-E$6*(1+((1-phimax_pore)/phimax_pore^2)*($A38/100))*($A38/100))</f>
        <v>2.15198019097199</v>
      </c>
      <c r="F38" s="9" t="n">
        <f aca="false">F$5*(1+A_pore*F$6*($A38/100))/(1-F$6*(1+((1-phimax_pore)/phimax_pore^2)*($A38/100))*($A38/100))</f>
        <v>2.15928418119806</v>
      </c>
      <c r="G38" s="9" t="n">
        <f aca="false">G$5*(1+A_pore*G$6*($A38/100))/(1-G$6*(1+((1-phimax_pore)/phimax_pore^2)*($A38/100))*($A38/100))</f>
        <v>2.16673171418468</v>
      </c>
      <c r="H38" s="9" t="n">
        <f aca="false">H$5*(1+A_pore*H$6*($A38/100))/(1-H$6*(1+((1-phimax_pore)/phimax_pore^2)*($A38/100))*($A38/100))</f>
        <v>2.17432729406662</v>
      </c>
      <c r="I38" s="9" t="n">
        <f aca="false">I$5*(1+A_pore*I$6*($A38/100))/(1-I$6*(1+((1-phimax_pore)/phimax_pore^2)*($A38/100))*($A38/100))</f>
        <v>2.18207562431548</v>
      </c>
      <c r="J38" s="9" t="n">
        <f aca="false">J$5*(1+A_pore*J$6*($A38/100))/(1-J$6*(1+((1-phimax_pore)/phimax_pore^2)*($A38/100))*($A38/100))</f>
        <v>2.18998161930421</v>
      </c>
      <c r="K38" s="9" t="n">
        <f aca="false">K$5*(1+A_pore*K$6*($A38/100))/(1-K$6*(1+((1-phimax_pore)/phimax_pore^2)*($A38/100))*($A38/100))</f>
        <v>2.19805041670841</v>
      </c>
      <c r="L38" s="9" t="n">
        <f aca="false">L$5*(1+A_pore*L$6*($A38/100))/(1-L$6*(1+((1-phimax_pore)/phimax_pore^2)*($A38/100))*($A38/100))</f>
        <v>2.20628739081748</v>
      </c>
      <c r="M38" s="9" t="n">
        <f aca="false">M$5*(1+A_pore*M$6*($A38/100))/(1-M$6*(1+((1-phimax_pore)/phimax_pore^2)*($A38/100))*($A38/100))</f>
        <v>2.21469816683588</v>
      </c>
      <c r="N38" s="9" t="n">
        <f aca="false">N$5*(1+A_pore*N$6*($A38/100))/(1-N$6*(1+((1-phimax_pore)/phimax_pore^2)*($A38/100))*($A38/100))</f>
        <v>2.22328863626318</v>
      </c>
      <c r="O38" s="9" t="n">
        <f aca="false">O$5*(1+A_pore*O$6*($A38/100))/(1-O$6*(1+((1-phimax_pore)/phimax_pore^2)*($A38/100))*($A38/100))</f>
        <v>2.23206497345089</v>
      </c>
      <c r="P38" s="9" t="n">
        <f aca="false">P$5*(1+A_pore*P$6*($A38/100))/(1-P$6*(1+((1-phimax_pore)/phimax_pore^2)*($A38/100))*($A38/100))</f>
        <v>2.24103365344445</v>
      </c>
      <c r="Q38" s="9" t="n">
        <f aca="false">Q$5*(1+A_pore*Q$6*($A38/100))/(1-Q$6*(1+((1-phimax_pore)/phimax_pore^2)*($A38/100))*($A38/100))</f>
        <v>2.2502014712305</v>
      </c>
      <c r="R38" s="9" t="n">
        <f aca="false">R$5*(1+A_pore*R$6*($A38/100))/(1-R$6*(1+((1-phimax_pore)/phimax_pore^2)*($A38/100))*($A38/100))</f>
        <v>2.25957556252266</v>
      </c>
      <c r="S38" s="9" t="n">
        <f aca="false">S$5*(1+A_pore*S$6*($A38/100))/(1-S$6*(1+((1-phimax_pore)/phimax_pore^2)*($A38/100))*($A38/100))</f>
        <v>2.26916342623397</v>
      </c>
      <c r="T38" s="9" t="n">
        <f aca="false">T$5*(1+A_pore*T$6*($A38/100))/(1-T$6*(1+((1-phimax_pore)/phimax_pore^2)*($A38/100))*($A38/100))</f>
        <v>2.27897294880073</v>
      </c>
      <c r="U38" s="9" t="n">
        <f aca="false">U$5*(1+A_pore*U$6*($A38/100))/(1-U$6*(1+((1-phimax_pore)/phimax_pore^2)*($A38/100))*($A38/100))</f>
        <v>2.28901243054149</v>
      </c>
      <c r="V38" s="9" t="n">
        <f aca="false">V$5*(1+A_pore*V$6*($A38/100))/(1-V$6*(1+((1-phimax_pore)/phimax_pore^2)*($A38/100))*($A38/100))</f>
        <v>2.29929061425614</v>
      </c>
      <c r="W38" s="9" t="n">
        <f aca="false">W$5*(1+A_pore*W$6*($A38/100))/(1-W$6*(1+((1-phimax_pore)/phimax_pore^2)*($A38/100))*($A38/100))</f>
        <v>2.30981671629452</v>
      </c>
      <c r="X38" s="9" t="n">
        <f aca="false">X$5*(1+A_pore*X$6*($A38/100))/(1-X$6*(1+((1-phimax_pore)/phimax_pore^2)*($A38/100))*($A38/100))</f>
        <v>2.3206004603512</v>
      </c>
      <c r="Y38" s="9" t="n">
        <f aca="false">Y$5*(1+A_pore*Y$6*($A38/100))/(1-Y$6*(1+((1-phimax_pore)/phimax_pore^2)*($A38/100))*($A38/100))</f>
        <v>2.33165211427463</v>
      </c>
      <c r="Z38" s="9" t="n">
        <f aca="false">Z$5*(1+A_pore*Z$6*($A38/100))/(1-Z$6*(1+((1-phimax_pore)/phimax_pore^2)*($A38/100))*($A38/100))</f>
        <v>2.34298253021455</v>
      </c>
      <c r="AA38" s="9" t="n">
        <f aca="false">AA$5*(1+A_pore*AA$6*($A38/100))/(1-AA$6*(1+((1-phimax_pore)/phimax_pore^2)*($A38/100))*($A38/100))</f>
        <v>2.35460318847207</v>
      </c>
      <c r="AB38" s="9" t="n">
        <f aca="false">AB$5*(1+A_pore*AB$6*($A38/100))/(1-AB$6*(1+((1-phimax_pore)/phimax_pore^2)*($A38/100))*($A38/100))</f>
        <v>2.36652624546407</v>
      </c>
      <c r="AC38" s="9" t="n">
        <f aca="false">AC$5*(1+A_pore*AC$6*($A38/100))/(1-AC$6*(1+((1-phimax_pore)/phimax_pore^2)*($A38/100))*($A38/100))</f>
        <v>2.37876458626651</v>
      </c>
      <c r="AD38" s="9" t="n">
        <f aca="false">AD$5*(1+A_pore*AD$6*($A38/100))/(1-AD$6*(1+((1-phimax_pore)/phimax_pore^2)*($A38/100))*($A38/100))</f>
        <v>2.39133188226356</v>
      </c>
      <c r="AE38" s="9" t="n">
        <f aca="false">AE$5*(1+A_pore*AE$6*($A38/100))/(1-AE$6*(1+((1-phimax_pore)/phimax_pore^2)*($A38/100))*($A38/100))</f>
        <v>2.40424265449987</v>
      </c>
      <c r="AF38" s="9" t="n">
        <f aca="false">AF$5*(1+A_pore*AF$6*($A38/100))/(1-AF$6*(1+((1-phimax_pore)/phimax_pore^2)*($A38/100))*($A38/100))</f>
        <v>2.41751234341586</v>
      </c>
      <c r="AG38" s="9" t="n">
        <f aca="false">AG$5*(1+A_pore*AG$6*($A38/100))/(1-AG$6*(1+((1-phimax_pore)/phimax_pore^2)*($A38/100))*($A38/100))</f>
        <v>2.43115738574054</v>
      </c>
      <c r="AH38" s="9" t="n">
        <f aca="false">AH$5*(1+A_pore*AH$6*($A38/100))/(1-AH$6*(1+((1-phimax_pore)/phimax_pore^2)*($A38/100))*($A38/100))</f>
        <v>2.44519529942703</v>
      </c>
      <c r="AI38" s="9" t="n">
        <f aca="false">AI$5*(1+A_pore*AI$6*($A38/100))/(1-AI$6*(1+((1-phimax_pore)/phimax_pore^2)*($A38/100))*($A38/100))</f>
        <v>2.45964477764398</v>
      </c>
      <c r="AJ38" s="9" t="n">
        <f aca="false">AJ$5*(1+A_pore*AJ$6*($A38/100))/(1-AJ$6*(1+((1-phimax_pore)/phimax_pore^2)*($A38/100))*($A38/100))</f>
        <v>2.47452579298642</v>
      </c>
      <c r="AK38" s="9" t="n">
        <f aca="false">AK$5*(1+A_pore*AK$6*($A38/100))/(1-AK$6*(1+((1-phimax_pore)/phimax_pore^2)*($A38/100))*($A38/100))</f>
        <v>2.48985971324443</v>
      </c>
    </row>
    <row r="39" customFormat="false" ht="15" hidden="false" customHeight="false" outlineLevel="0" collapsed="false">
      <c r="A39" s="4" t="n">
        <v>30</v>
      </c>
      <c r="B39" s="9" t="n">
        <f aca="false">B$5*(1+A_pore*B$6*($A39/100))/(1-B$6*(1+((1-phimax_pore)/phimax_pore^2)*($A39/100))*($A39/100))</f>
        <v>2.10107221767871</v>
      </c>
      <c r="C39" s="9" t="n">
        <f aca="false">C$5*(1+A_pore*C$6*($A39/100))/(1-C$6*(1+((1-phimax_pore)/phimax_pore^2)*($A39/100))*($A39/100))</f>
        <v>2.10772435333449</v>
      </c>
      <c r="D39" s="9" t="n">
        <f aca="false">D$5*(1+A_pore*D$6*($A39/100))/(1-D$6*(1+((1-phimax_pore)/phimax_pore^2)*($A39/100))*($A39/100))</f>
        <v>2.11450239549577</v>
      </c>
      <c r="E39" s="9" t="n">
        <f aca="false">E$5*(1+A_pore*E$6*($A39/100))/(1-E$6*(1+((1-phimax_pore)/phimax_pore^2)*($A39/100))*($A39/100))</f>
        <v>2.12141014491739</v>
      </c>
      <c r="F39" s="9" t="n">
        <f aca="false">F$5*(1+A_pore*F$6*($A39/100))/(1-F$6*(1+((1-phimax_pore)/phimax_pore^2)*($A39/100))*($A39/100))</f>
        <v>2.12845156407916</v>
      </c>
      <c r="G39" s="9" t="n">
        <f aca="false">G$5*(1+A_pore*G$6*($A39/100))/(1-G$6*(1+((1-phimax_pore)/phimax_pore^2)*($A39/100))*($A39/100))</f>
        <v>2.13563078620459</v>
      </c>
      <c r="H39" s="9" t="n">
        <f aca="false">H$5*(1+A_pore*H$6*($A39/100))/(1-H$6*(1+((1-phimax_pore)/phimax_pore^2)*($A39/100))*($A39/100))</f>
        <v>2.14295212490697</v>
      </c>
      <c r="I39" s="9" t="n">
        <f aca="false">I$5*(1+A_pore*I$6*($A39/100))/(1-I$6*(1+((1-phimax_pore)/phimax_pore^2)*($A39/100))*($A39/100))</f>
        <v>2.1504200845153</v>
      </c>
      <c r="J39" s="9" t="n">
        <f aca="false">J$5*(1+A_pore*J$6*($A39/100))/(1-J$6*(1+((1-phimax_pore)/phimax_pore^2)*($A39/100))*($A39/100))</f>
        <v>2.15803937113779</v>
      </c>
      <c r="K39" s="9" t="n">
        <f aca="false">K$5*(1+A_pore*K$6*($A39/100))/(1-K$6*(1+((1-phimax_pore)/phimax_pore^2)*($A39/100))*($A39/100))</f>
        <v>2.16581490452627</v>
      </c>
      <c r="L39" s="9" t="n">
        <f aca="false">L$5*(1+A_pore*L$6*($A39/100))/(1-L$6*(1+((1-phimax_pore)/phimax_pore^2)*($A39/100))*($A39/100))</f>
        <v>2.17375183081144</v>
      </c>
      <c r="M39" s="9" t="n">
        <f aca="false">M$5*(1+A_pore*M$6*($A39/100))/(1-M$6*(1+((1-phimax_pore)/phimax_pore^2)*($A39/100))*($A39/100))</f>
        <v>2.18185553618578</v>
      </c>
      <c r="N39" s="9" t="n">
        <f aca="false">N$5*(1+A_pore*N$6*($A39/100))/(1-N$6*(1+((1-phimax_pore)/phimax_pore^2)*($A39/100))*($A39/100))</f>
        <v>2.19013166161907</v>
      </c>
      <c r="O39" s="9" t="n">
        <f aca="false">O$5*(1+A_pore*O$6*($A39/100))/(1-O$6*(1+((1-phimax_pore)/phimax_pore^2)*($A39/100))*($A39/100))</f>
        <v>2.19858611870039</v>
      </c>
      <c r="P39" s="9" t="n">
        <f aca="false">P$5*(1+A_pore*P$6*($A39/100))/(1-P$6*(1+((1-phimax_pore)/phimax_pore^2)*($A39/100))*($A39/100))</f>
        <v>2.2072251067104</v>
      </c>
      <c r="Q39" s="9" t="n">
        <f aca="false">Q$5*(1+A_pore*Q$6*($A39/100))/(1-Q$6*(1+((1-phimax_pore)/phimax_pore^2)*($A39/100))*($A39/100))</f>
        <v>2.21605513103892</v>
      </c>
      <c r="R39" s="9" t="n">
        <f aca="false">R$5*(1+A_pore*R$6*($A39/100))/(1-R$6*(1+((1-phimax_pore)/phimax_pore^2)*($A39/100))*($A39/100))</f>
        <v>2.22508302307549</v>
      </c>
      <c r="S39" s="9" t="n">
        <f aca="false">S$5*(1+A_pore*S$6*($A39/100))/(1-S$6*(1+((1-phimax_pore)/phimax_pore^2)*($A39/100))*($A39/100))</f>
        <v>2.23431596171479</v>
      </c>
      <c r="T39" s="9" t="n">
        <f aca="false">T$5*(1+A_pore*T$6*($A39/100))/(1-T$6*(1+((1-phimax_pore)/phimax_pore^2)*($A39/100))*($A39/100))</f>
        <v>2.24376149663481</v>
      </c>
      <c r="U39" s="9" t="n">
        <f aca="false">U$5*(1+A_pore*U$6*($A39/100))/(1-U$6*(1+((1-phimax_pore)/phimax_pore^2)*($A39/100))*($A39/100))</f>
        <v>2.25342757352365</v>
      </c>
      <c r="V39" s="9" t="n">
        <f aca="false">V$5*(1+A_pore*V$6*($A39/100))/(1-V$6*(1+((1-phimax_pore)/phimax_pore^2)*($A39/100))*($A39/100))</f>
        <v>2.26332256145155</v>
      </c>
      <c r="W39" s="9" t="n">
        <f aca="false">W$5*(1+A_pore*W$6*($A39/100))/(1-W$6*(1+((1-phimax_pore)/phimax_pore^2)*($A39/100))*($A39/100))</f>
        <v>2.27345528260779</v>
      </c>
      <c r="X39" s="9" t="n">
        <f aca="false">X$5*(1+A_pore*X$6*($A39/100))/(1-X$6*(1+((1-phimax_pore)/phimax_pore^2)*($A39/100))*($A39/100))</f>
        <v>2.28383504464849</v>
      </c>
      <c r="Y39" s="9" t="n">
        <f aca="false">Y$5*(1+A_pore*Y$6*($A39/100))/(1-Y$6*(1+((1-phimax_pore)/phimax_pore^2)*($A39/100))*($A39/100))</f>
        <v>2.29447167593144</v>
      </c>
      <c r="Z39" s="9" t="n">
        <f aca="false">Z$5*(1+A_pore*Z$6*($A39/100))/(1-Z$6*(1+((1-phimax_pore)/phimax_pore^2)*($A39/100))*($A39/100))</f>
        <v>2.3053755639483</v>
      </c>
      <c r="AA39" s="9" t="n">
        <f aca="false">AA$5*(1+A_pore*AA$6*($A39/100))/(1-AA$6*(1+((1-phimax_pore)/phimax_pore^2)*($A39/100))*($A39/100))</f>
        <v>2.31655769730365</v>
      </c>
      <c r="AB39" s="9" t="n">
        <f aca="false">AB$5*(1+A_pore*AB$6*($A39/100))/(1-AB$6*(1+((1-phimax_pore)/phimax_pore^2)*($A39/100))*($A39/100))</f>
        <v>2.32802971163502</v>
      </c>
      <c r="AC39" s="9" t="n">
        <f aca="false">AC$5*(1+A_pore*AC$6*($A39/100))/(1-AC$6*(1+((1-phimax_pore)/phimax_pore^2)*($A39/100))*($A39/100))</f>
        <v>2.33980393991974</v>
      </c>
      <c r="AD39" s="9" t="n">
        <f aca="false">AD$5*(1+A_pore*AD$6*($A39/100))/(1-AD$6*(1+((1-phimax_pore)/phimax_pore^2)*($A39/100))*($A39/100))</f>
        <v>2.35189346767312</v>
      </c>
      <c r="AE39" s="9" t="n">
        <f aca="false">AE$5*(1+A_pore*AE$6*($A39/100))/(1-AE$6*(1+((1-phimax_pore)/phimax_pore^2)*($A39/100))*($A39/100))</f>
        <v>2.36431219361098</v>
      </c>
      <c r="AF39" s="9" t="n">
        <f aca="false">AF$5*(1+A_pore*AF$6*($A39/100))/(1-AF$6*(1+((1-phimax_pore)/phimax_pore^2)*($A39/100))*($A39/100))</f>
        <v>2.37707489642806</v>
      </c>
      <c r="AG39" s="9" t="n">
        <f aca="false">AG$5*(1+A_pore*AG$6*($A39/100))/(1-AG$6*(1+((1-phimax_pore)/phimax_pore^2)*($A39/100))*($A39/100))</f>
        <v>2.39019730843496</v>
      </c>
      <c r="AH39" s="9" t="n">
        <f aca="false">AH$5*(1+A_pore*AH$6*($A39/100))/(1-AH$6*(1+((1-phimax_pore)/phimax_pore^2)*($A39/100))*($A39/100))</f>
        <v>2.40369619690213</v>
      </c>
      <c r="AI39" s="9" t="n">
        <f aca="false">AI$5*(1+A_pore*AI$6*($A39/100))/(1-AI$6*(1+((1-phimax_pore)/phimax_pore^2)*($A39/100))*($A39/100))</f>
        <v>2.41758945408255</v>
      </c>
      <c r="AJ39" s="9" t="n">
        <f aca="false">AJ$5*(1+A_pore*AJ$6*($A39/100))/(1-AJ$6*(1+((1-phimax_pore)/phimax_pore^2)*($A39/100))*($A39/100))</f>
        <v>2.43189619702856</v>
      </c>
      <c r="AK39" s="9" t="n">
        <f aca="false">AK$5*(1+A_pore*AK$6*($A39/100))/(1-AK$6*(1+((1-phimax_pore)/phimax_pore^2)*($A39/100))*($A39/100))</f>
        <v>2.44663687848635</v>
      </c>
    </row>
    <row r="40" customFormat="false" ht="15" hidden="false" customHeight="false" outlineLevel="0" collapsed="false">
      <c r="A40" s="4" t="n">
        <v>31</v>
      </c>
      <c r="B40" s="9" t="n">
        <f aca="false">B$5*(1+A_pore*B$6*($A40/100))/(1-B$6*(1+((1-phimax_pore)/phimax_pore^2)*($A40/100))*($A40/100))</f>
        <v>2.07198101867188</v>
      </c>
      <c r="C40" s="9" t="n">
        <f aca="false">C$5*(1+A_pore*C$6*($A40/100))/(1-C$6*(1+((1-phimax_pore)/phimax_pore^2)*($A40/100))*($A40/100))</f>
        <v>2.0783961053271</v>
      </c>
      <c r="D40" s="9" t="n">
        <f aca="false">D$5*(1+A_pore*D$6*($A40/100))/(1-D$6*(1+((1-phimax_pore)/phimax_pore^2)*($A40/100))*($A40/100))</f>
        <v>2.08493211647807</v>
      </c>
      <c r="E40" s="9" t="n">
        <f aca="false">E$5*(1+A_pore*E$6*($A40/100))/(1-E$6*(1+((1-phimax_pore)/phimax_pore^2)*($A40/100))*($A40/100))</f>
        <v>2.09159269381811</v>
      </c>
      <c r="F40" s="9" t="n">
        <f aca="false">F$5*(1+A_pore*F$6*($A40/100))/(1-F$6*(1+((1-phimax_pore)/phimax_pore^2)*($A40/100))*($A40/100))</f>
        <v>2.09838163384264</v>
      </c>
      <c r="G40" s="9" t="n">
        <f aca="false">G$5*(1+A_pore*G$6*($A40/100))/(1-G$6*(1+((1-phimax_pore)/phimax_pore^2)*($A40/100))*($A40/100))</f>
        <v>2.10530289648105</v>
      </c>
      <c r="H40" s="9" t="n">
        <f aca="false">H$5*(1+A_pore*H$6*($A40/100))/(1-H$6*(1+((1-phimax_pore)/phimax_pore^2)*($A40/100))*($A40/100))</f>
        <v>2.11236061432927</v>
      </c>
      <c r="I40" s="9" t="n">
        <f aca="false">I$5*(1+A_pore*I$6*($A40/100))/(1-I$6*(1+((1-phimax_pore)/phimax_pore^2)*($A40/100))*($A40/100))</f>
        <v>2.11955910253328</v>
      </c>
      <c r="J40" s="9" t="n">
        <f aca="false">J$5*(1+A_pore*J$6*($A40/100))/(1-J$6*(1+((1-phimax_pore)/phimax_pore^2)*($A40/100))*($A40/100))</f>
        <v>2.12690286937896</v>
      </c>
      <c r="K40" s="9" t="n">
        <f aca="false">K$5*(1+A_pore*K$6*($A40/100))/(1-K$6*(1+((1-phimax_pore)/phimax_pore^2)*($A40/100))*($A40/100))</f>
        <v>2.13439662764879</v>
      </c>
      <c r="L40" s="9" t="n">
        <f aca="false">L$5*(1+A_pore*L$6*($A40/100))/(1-L$6*(1+((1-phimax_pore)/phimax_pore^2)*($A40/100))*($A40/100))</f>
        <v>2.1420453068126</v>
      </c>
      <c r="M40" s="9" t="n">
        <f aca="false">M$5*(1+A_pore*M$6*($A40/100))/(1-M$6*(1+((1-phimax_pore)/phimax_pore^2)*($A40/100))*($A40/100))</f>
        <v>2.14985406612579</v>
      </c>
      <c r="N40" s="9" t="n">
        <f aca="false">N$5*(1+A_pore*N$6*($A40/100))/(1-N$6*(1+((1-phimax_pore)/phimax_pore^2)*($A40/100))*($A40/100))</f>
        <v>2.15782830871668</v>
      </c>
      <c r="O40" s="9" t="n">
        <f aca="false">O$5*(1+A_pore*O$6*($A40/100))/(1-O$6*(1+((1-phimax_pore)/phimax_pore^2)*($A40/100))*($A40/100))</f>
        <v>2.16597369675262</v>
      </c>
      <c r="P40" s="9" t="n">
        <f aca="false">P$5*(1+A_pore*P$6*($A40/100))/(1-P$6*(1+((1-phimax_pore)/phimax_pore^2)*($A40/100))*($A40/100))</f>
        <v>2.17429616778463</v>
      </c>
      <c r="Q40" s="9" t="n">
        <f aca="false">Q$5*(1+A_pore*Q$6*($A40/100))/(1-Q$6*(1+((1-phimax_pore)/phimax_pore^2)*($A40/100))*($A40/100))</f>
        <v>2.18280195238059</v>
      </c>
      <c r="R40" s="9" t="n">
        <f aca="false">R$5*(1+A_pore*R$6*($A40/100))/(1-R$6*(1+((1-phimax_pore)/phimax_pore^2)*($A40/100))*($A40/100))</f>
        <v>2.19149759316956</v>
      </c>
      <c r="S40" s="9" t="n">
        <f aca="false">S$5*(1+A_pore*S$6*($A40/100))/(1-S$6*(1+((1-phimax_pore)/phimax_pore^2)*($A40/100))*($A40/100))</f>
        <v>2.20038996543302</v>
      </c>
      <c r="T40" s="9" t="n">
        <f aca="false">T$5*(1+A_pore*T$6*($A40/100))/(1-T$6*(1+((1-phimax_pore)/phimax_pore^2)*($A40/100))*($A40/100))</f>
        <v>2.20948629939452</v>
      </c>
      <c r="U40" s="9" t="n">
        <f aca="false">U$5*(1+A_pore*U$6*($A40/100))/(1-U$6*(1+((1-phimax_pore)/phimax_pore^2)*($A40/100))*($A40/100))</f>
        <v>2.21879420437627</v>
      </c>
      <c r="V40" s="9" t="n">
        <f aca="false">V$5*(1+A_pore*V$6*($A40/100))/(1-V$6*(1+((1-phimax_pore)/phimax_pore^2)*($A40/100))*($A40/100))</f>
        <v>2.22832169501126</v>
      </c>
      <c r="W40" s="9" t="n">
        <f aca="false">W$5*(1+A_pore*W$6*($A40/100))/(1-W$6*(1+((1-phimax_pore)/phimax_pore^2)*($A40/100))*($A40/100))</f>
        <v>2.23807721972125</v>
      </c>
      <c r="X40" s="9" t="n">
        <f aca="false">X$5*(1+A_pore*X$6*($A40/100))/(1-X$6*(1+((1-phimax_pore)/phimax_pore^2)*($A40/100))*($A40/100))</f>
        <v>2.24806969169676</v>
      </c>
      <c r="Y40" s="9" t="n">
        <f aca="false">Y$5*(1+A_pore*Y$6*($A40/100))/(1-Y$6*(1+((1-phimax_pore)/phimax_pore^2)*($A40/100))*($A40/100))</f>
        <v>2.25830852264372</v>
      </c>
      <c r="Z40" s="9" t="n">
        <f aca="false">Z$5*(1+A_pore*Z$6*($A40/100))/(1-Z$6*(1+((1-phimax_pore)/phimax_pore^2)*($A40/100))*($A40/100))</f>
        <v>2.26880365959437</v>
      </c>
      <c r="AA40" s="9" t="n">
        <f aca="false">AA$5*(1+A_pore*AA$6*($A40/100))/(1-AA$6*(1+((1-phimax_pore)/phimax_pore^2)*($A40/100))*($A40/100))</f>
        <v>2.27956562511746</v>
      </c>
      <c r="AB40" s="9" t="n">
        <f aca="false">AB$5*(1+A_pore*AB$6*($A40/100))/(1-AB$6*(1+((1-phimax_pore)/phimax_pore^2)*($A40/100))*($A40/100))</f>
        <v>2.29060556130589</v>
      </c>
      <c r="AC40" s="9" t="n">
        <f aca="false">AC$5*(1+A_pore*AC$6*($A40/100))/(1-AC$6*(1+((1-phimax_pore)/phimax_pore^2)*($A40/100))*($A40/100))</f>
        <v>2.30193527796915</v>
      </c>
      <c r="AD40" s="9" t="n">
        <f aca="false">AD$5*(1+A_pore*AD$6*($A40/100))/(1-AD$6*(1+((1-phimax_pore)/phimax_pore^2)*($A40/100))*($A40/100))</f>
        <v>2.31356730551465</v>
      </c>
      <c r="AE40" s="9" t="n">
        <f aca="false">AE$5*(1+A_pore*AE$6*($A40/100))/(1-AE$6*(1+((1-phimax_pore)/phimax_pore^2)*($A40/100))*($A40/100))</f>
        <v>2.32551495306736</v>
      </c>
      <c r="AF40" s="9" t="n">
        <f aca="false">AF$5*(1+A_pore*AF$6*($A40/100))/(1-AF$6*(1+((1-phimax_pore)/phimax_pore^2)*($A40/100))*($A40/100))</f>
        <v>2.3377923724528</v>
      </c>
      <c r="AG40" s="9" t="n">
        <f aca="false">AG$5*(1+A_pore*AG$6*($A40/100))/(1-AG$6*(1+((1-phimax_pore)/phimax_pore^2)*($A40/100))*($A40/100))</f>
        <v>2.35041462875569</v>
      </c>
      <c r="AH40" s="9" t="n">
        <f aca="false">AH$5*(1+A_pore*AH$6*($A40/100))/(1-AH$6*(1+((1-phimax_pore)/phimax_pore^2)*($A40/100))*($A40/100))</f>
        <v>2.36339777826833</v>
      </c>
      <c r="AI40" s="9" t="n">
        <f aca="false">AI$5*(1+A_pore*AI$6*($A40/100))/(1-AI$6*(1+((1-phimax_pore)/phimax_pore^2)*($A40/100))*($A40/100))</f>
        <v>2.37675895476076</v>
      </c>
      <c r="AJ40" s="9" t="n">
        <f aca="false">AJ$5*(1+A_pore*AJ$6*($A40/100))/(1-AJ$6*(1+((1-phimax_pore)/phimax_pore^2)*($A40/100))*($A40/100))</f>
        <v>2.3905164651428</v>
      </c>
      <c r="AK40" s="9" t="n">
        <f aca="false">AK$5*(1+A_pore*AK$6*($A40/100))/(1-AK$6*(1+((1-phimax_pore)/phimax_pore^2)*($A40/100))*($A40/100))</f>
        <v>2.40468989574956</v>
      </c>
    </row>
    <row r="41" customFormat="false" ht="15" hidden="false" customHeight="false" outlineLevel="0" collapsed="false">
      <c r="A41" s="4" t="n">
        <v>32</v>
      </c>
      <c r="B41" s="9" t="n">
        <f aca="false">B$5*(1+A_pore*B$6*($A41/100))/(1-B$6*(1+((1-phimax_pore)/phimax_pore^2)*($A41/100))*($A41/100))</f>
        <v>2.04358759298598</v>
      </c>
      <c r="C41" s="9" t="n">
        <f aca="false">C$5*(1+A_pore*C$6*($A41/100))/(1-C$6*(1+((1-phimax_pore)/phimax_pore^2)*($A41/100))*($A41/100))</f>
        <v>2.04977453962637</v>
      </c>
      <c r="D41" s="9" t="n">
        <f aca="false">D$5*(1+A_pore*D$6*($A41/100))/(1-D$6*(1+((1-phimax_pore)/phimax_pore^2)*($A41/100))*($A41/100))</f>
        <v>2.05607764883756</v>
      </c>
      <c r="E41" s="9" t="n">
        <f aca="false">E$5*(1+A_pore*E$6*($A41/100))/(1-E$6*(1+((1-phimax_pore)/phimax_pore^2)*($A41/100))*($A41/100))</f>
        <v>2.06250041100683</v>
      </c>
      <c r="F41" s="9" t="n">
        <f aca="false">F$5*(1+A_pore*F$6*($A41/100))/(1-F$6*(1+((1-phimax_pore)/phimax_pore^2)*($A41/100))*($A41/100))</f>
        <v>2.06904646475833</v>
      </c>
      <c r="G41" s="9" t="n">
        <f aca="false">G$5*(1+A_pore*G$6*($A41/100))/(1-G$6*(1+((1-phimax_pore)/phimax_pore^2)*($A41/100))*($A41/100))</f>
        <v>2.07571960521867</v>
      </c>
      <c r="H41" s="9" t="n">
        <f aca="false">H$5*(1+A_pore*H$6*($A41/100))/(1-H$6*(1+((1-phimax_pore)/phimax_pore^2)*($A41/100))*($A41/100))</f>
        <v>2.08252379285802</v>
      </c>
      <c r="I41" s="9" t="n">
        <f aca="false">I$5*(1+A_pore*I$6*($A41/100))/(1-I$6*(1+((1-phimax_pore)/phimax_pore^2)*($A41/100))*($A41/100))</f>
        <v>2.08946316295482</v>
      </c>
      <c r="J41" s="9" t="n">
        <f aca="false">J$5*(1+A_pore*J$6*($A41/100))/(1-J$6*(1+((1-phimax_pore)/phimax_pore^2)*($A41/100))*($A41/100))</f>
        <v>2.09654203573709</v>
      </c>
      <c r="K41" s="9" t="n">
        <f aca="false">K$5*(1+A_pore*K$6*($A41/100))/(1-K$6*(1+((1-phimax_pore)/phimax_pore^2)*($A41/100))*($A41/100))</f>
        <v>2.10376492725871</v>
      </c>
      <c r="L41" s="9" t="n">
        <f aca="false">L$5*(1+A_pore*L$6*($A41/100))/(1-L$6*(1+((1-phimax_pore)/phimax_pore^2)*($A41/100))*($A41/100))</f>
        <v>2.11113656107456</v>
      </c>
      <c r="M41" s="9" t="n">
        <f aca="false">M$5*(1+A_pore*M$6*($A41/100))/(1-M$6*(1+((1-phimax_pore)/phimax_pore^2)*($A41/100))*($A41/100))</f>
        <v>2.11866188078545</v>
      </c>
      <c r="N41" s="9" t="n">
        <f aca="false">N$5*(1+A_pore*N$6*($A41/100))/(1-N$6*(1+((1-phimax_pore)/phimax_pore^2)*($A41/100))*($A41/100))</f>
        <v>2.1263460635307</v>
      </c>
      <c r="O41" s="9" t="n">
        <f aca="false">O$5*(1+A_pore*O$6*($A41/100))/(1-O$6*(1+((1-phimax_pore)/phimax_pore^2)*($A41/100))*($A41/100))</f>
        <v>2.13419453451462</v>
      </c>
      <c r="P41" s="9" t="n">
        <f aca="false">P$5*(1+A_pore*P$6*($A41/100))/(1-P$6*(1+((1-phimax_pore)/phimax_pore^2)*($A41/100))*($A41/100))</f>
        <v>2.14221298266231</v>
      </c>
      <c r="Q41" s="9" t="n">
        <f aca="false">Q$5*(1+A_pore*Q$6*($A41/100))/(1-Q$6*(1+((1-phimax_pore)/phimax_pore^2)*($A41/100))*($A41/100))</f>
        <v>2.15040737751054</v>
      </c>
      <c r="R41" s="9" t="n">
        <f aca="false">R$5*(1+A_pore*R$6*($A41/100))/(1-R$6*(1+((1-phimax_pore)/phimax_pore^2)*($A41/100))*($A41/100))</f>
        <v>2.15878398745099</v>
      </c>
      <c r="S41" s="9" t="n">
        <f aca="false">S$5*(1+A_pore*S$6*($A41/100))/(1-S$6*(1+((1-phimax_pore)/phimax_pore^2)*($A41/100))*($A41/100))</f>
        <v>2.1673493994563</v>
      </c>
      <c r="T41" s="9" t="n">
        <f aca="false">T$5*(1+A_pore*T$6*($A41/100))/(1-T$6*(1+((1-phimax_pore)/phimax_pore^2)*($A41/100))*($A41/100))</f>
        <v>2.17611054043404</v>
      </c>
      <c r="U41" s="9" t="n">
        <f aca="false">U$5*(1+A_pore*U$6*($A41/100))/(1-U$6*(1+((1-phimax_pore)/phimax_pore^2)*($A41/100))*($A41/100))</f>
        <v>2.18507470037047</v>
      </c>
      <c r="V41" s="9" t="n">
        <f aca="false">V$5*(1+A_pore*V$6*($A41/100))/(1-V$6*(1+((1-phimax_pore)/phimax_pore^2)*($A41/100))*($A41/100))</f>
        <v>2.19424955744467</v>
      </c>
      <c r="W41" s="9" t="n">
        <f aca="false">W$5*(1+A_pore*W$6*($A41/100))/(1-W$6*(1+((1-phimax_pore)/phimax_pore^2)*($A41/100))*($A41/100))</f>
        <v>2.20364320531509</v>
      </c>
      <c r="X41" s="9" t="n">
        <f aca="false">X$5*(1+A_pore*X$6*($A41/100))/(1-X$6*(1+((1-phimax_pore)/phimax_pore^2)*($A41/100))*($A41/100))</f>
        <v>2.21326418280495</v>
      </c>
      <c r="Y41" s="9" t="n">
        <f aca="false">Y$5*(1+A_pore*Y$6*($A41/100))/(1-Y$6*(1+((1-phimax_pore)/phimax_pore^2)*($A41/100))*($A41/100))</f>
        <v>2.22312150624025</v>
      </c>
      <c r="Z41" s="9" t="n">
        <f aca="false">Z$5*(1+A_pore*Z$6*($A41/100))/(1-Z$6*(1+((1-phimax_pore)/phimax_pore^2)*($A41/100))*($A41/100))</f>
        <v>2.23322470472605</v>
      </c>
      <c r="AA41" s="9" t="n">
        <f aca="false">AA$5*(1+A_pore*AA$6*($A41/100))/(1-AA$6*(1+((1-phimax_pore)/phimax_pore^2)*($A41/100))*($A41/100))</f>
        <v>2.24358385868251</v>
      </c>
      <c r="AB41" s="9" t="n">
        <f aca="false">AB$5*(1+A_pore*AB$6*($A41/100))/(1-AB$6*(1+((1-phimax_pore)/phimax_pore^2)*($A41/100))*($A41/100))</f>
        <v>2.2542096420033</v>
      </c>
      <c r="AC41" s="9" t="n">
        <f aca="false">AC$5*(1+A_pore*AC$6*($A41/100))/(1-AC$6*(1+((1-phimax_pore)/phimax_pore^2)*($A41/100))*($A41/100))</f>
        <v>2.26511336824669</v>
      </c>
      <c r="AD41" s="9" t="n">
        <f aca="false">AD$5*(1+A_pore*AD$6*($A41/100))/(1-AD$6*(1+((1-phimax_pore)/phimax_pore^2)*($A41/100))*($A41/100))</f>
        <v>2.27630704132364</v>
      </c>
      <c r="AE41" s="9" t="n">
        <f aca="false">AE$5*(1+A_pore*AE$6*($A41/100))/(1-AE$6*(1+((1-phimax_pore)/phimax_pore^2)*($A41/100))*($A41/100))</f>
        <v>2.28780341121032</v>
      </c>
      <c r="AF41" s="9" t="n">
        <f aca="false">AF$5*(1+A_pore*AF$6*($A41/100))/(1-AF$6*(1+((1-phimax_pore)/phimax_pore^2)*($A41/100))*($A41/100))</f>
        <v>2.29961603528468</v>
      </c>
      <c r="AG41" s="9" t="n">
        <f aca="false">AG$5*(1+A_pore*AG$6*($A41/100))/(1-AG$6*(1+((1-phimax_pore)/phimax_pore^2)*($A41/100))*($A41/100))</f>
        <v>2.31175934597097</v>
      </c>
      <c r="AH41" s="9" t="n">
        <f aca="false">AH$5*(1+A_pore*AH$6*($A41/100))/(1-AH$6*(1+((1-phimax_pore)/phimax_pore^2)*($A41/100))*($A41/100))</f>
        <v>2.3242487254732</v>
      </c>
      <c r="AI41" s="9" t="n">
        <f aca="false">AI$5*(1+A_pore*AI$6*($A41/100))/(1-AI$6*(1+((1-phimax_pore)/phimax_pore^2)*($A41/100))*($A41/100))</f>
        <v>2.33710058849251</v>
      </c>
      <c r="AJ41" s="9" t="n">
        <f aca="false">AJ$5*(1+A_pore*AJ$6*($A41/100))/(1-AJ$6*(1+((1-phimax_pore)/phimax_pore^2)*($A41/100))*($A41/100))</f>
        <v>2.35033247395524</v>
      </c>
      <c r="AK41" s="9" t="n">
        <f aca="false">AK$5*(1+A_pore*AK$6*($A41/100))/(1-AK$6*(1+((1-phimax_pore)/phimax_pore^2)*($A41/100))*($A41/100))</f>
        <v>2.36396314693423</v>
      </c>
    </row>
    <row r="42" customFormat="false" ht="15" hidden="false" customHeight="false" outlineLevel="0" collapsed="false">
      <c r="A42" s="4" t="n">
        <v>33</v>
      </c>
      <c r="B42" s="9" t="n">
        <f aca="false">B$5*(1+A_pore*B$6*($A42/100))/(1-B$6*(1+((1-phimax_pore)/phimax_pore^2)*($A42/100))*($A42/100))</f>
        <v>2.01586715867159</v>
      </c>
      <c r="C42" s="9" t="n">
        <f aca="false">C$5*(1+A_pore*C$6*($A42/100))/(1-C$6*(1+((1-phimax_pore)/phimax_pore^2)*($A42/100))*($A42/100))</f>
        <v>2.02183444418189</v>
      </c>
      <c r="D42" s="9" t="n">
        <f aca="false">D$5*(1+A_pore*D$6*($A42/100))/(1-D$6*(1+((1-phimax_pore)/phimax_pore^2)*($A42/100))*($A42/100))</f>
        <v>2.02791333800291</v>
      </c>
      <c r="E42" s="9" t="n">
        <f aca="false">E$5*(1+A_pore*E$6*($A42/100))/(1-E$6*(1+((1-phimax_pore)/phimax_pore^2)*($A42/100))*($A42/100))</f>
        <v>2.03410718648362</v>
      </c>
      <c r="F42" s="9" t="n">
        <f aca="false">F$5*(1+A_pore*F$6*($A42/100))/(1-F$6*(1+((1-phimax_pore)/phimax_pore^2)*($A42/100))*($A42/100))</f>
        <v>2.04041947797792</v>
      </c>
      <c r="G42" s="9" t="n">
        <f aca="false">G$5*(1+A_pore*G$6*($A42/100))/(1-G$6*(1+((1-phimax_pore)/phimax_pore^2)*($A42/100))*($A42/100))</f>
        <v>2.04685385076319</v>
      </c>
      <c r="H42" s="9" t="n">
        <f aca="false">H$5*(1+A_pore*H$6*($A42/100))/(1-H$6*(1+((1-phimax_pore)/phimax_pore^2)*($A42/100))*($A42/100))</f>
        <v>2.05341410151027</v>
      </c>
      <c r="I42" s="9" t="n">
        <f aca="false">I$5*(1+A_pore*I$6*($A42/100))/(1-I$6*(1+((1-phimax_pore)/phimax_pore^2)*($A42/100))*($A42/100))</f>
        <v>2.06010419435126</v>
      </c>
      <c r="J42" s="9" t="n">
        <f aca="false">J$5*(1+A_pore*J$6*($A42/100))/(1-J$6*(1+((1-phimax_pore)/phimax_pore^2)*($A42/100))*($A42/100))</f>
        <v>2.06692827059584</v>
      </c>
      <c r="K42" s="9" t="n">
        <f aca="false">K$5*(1+A_pore*K$6*($A42/100))/(1-K$6*(1+((1-phimax_pore)/phimax_pore^2)*($A42/100))*($A42/100))</f>
        <v>2.07389065915205</v>
      </c>
      <c r="L42" s="9" t="n">
        <f aca="false">L$5*(1+A_pore*L$6*($A42/100))/(1-L$6*(1+((1-phimax_pore)/phimax_pore^2)*($A42/100))*($A42/100))</f>
        <v>2.08099588771299</v>
      </c>
      <c r="M42" s="9" t="n">
        <f aca="false">M$5*(1+A_pore*M$6*($A42/100))/(1-M$6*(1+((1-phimax_pore)/phimax_pore^2)*($A42/100))*($A42/100))</f>
        <v>2.08824869477733</v>
      </c>
      <c r="N42" s="9" t="n">
        <f aca="false">N$5*(1+A_pore*N$6*($A42/100))/(1-N$6*(1+((1-phimax_pore)/phimax_pore^2)*($A42/100))*($A42/100))</f>
        <v>2.09565404257823</v>
      </c>
      <c r="O42" s="9" t="n">
        <f aca="false">O$5*(1+A_pore*O$6*($A42/100))/(1-O$6*(1+((1-phimax_pore)/phimax_pore^2)*($A42/100))*($A42/100))</f>
        <v>2.10321713100372</v>
      </c>
      <c r="P42" s="9" t="n">
        <f aca="false">P$5*(1+A_pore*P$6*($A42/100))/(1-P$6*(1+((1-phimax_pore)/phimax_pore^2)*($A42/100))*($A42/100))</f>
        <v>2.11094341259977</v>
      </c>
      <c r="Q42" s="9" t="n">
        <f aca="false">Q$5*(1+A_pore*Q$6*($A42/100))/(1-Q$6*(1+((1-phimax_pore)/phimax_pore^2)*($A42/100))*($A42/100))</f>
        <v>2.11883860875765</v>
      </c>
      <c r="R42" s="9" t="n">
        <f aca="false">R$5*(1+A_pore*R$6*($A42/100))/(1-R$6*(1+((1-phimax_pore)/phimax_pore^2)*($A42/100))*($A42/100))</f>
        <v>2.1269087271981</v>
      </c>
      <c r="S42" s="9" t="n">
        <f aca="false">S$5*(1+A_pore*S$6*($A42/100))/(1-S$6*(1+((1-phimax_pore)/phimax_pore^2)*($A42/100))*($A42/100))</f>
        <v>2.13516008087749</v>
      </c>
      <c r="T42" s="9" t="n">
        <f aca="false">T$5*(1+A_pore*T$6*($A42/100))/(1-T$6*(1+((1-phimax_pore)/phimax_pore^2)*($A42/100))*($A42/100))</f>
        <v>2.14359930845519</v>
      </c>
      <c r="U42" s="9" t="n">
        <f aca="false">U$5*(1+A_pore*U$6*($A42/100))/(1-U$6*(1+((1-phimax_pore)/phimax_pore^2)*($A42/100))*($A42/100))</f>
        <v>2.15223339647741</v>
      </c>
      <c r="V42" s="9" t="n">
        <f aca="false">V$5*(1+A_pore*V$6*($A42/100))/(1-V$6*(1+((1-phimax_pore)/phimax_pore^2)*($A42/100))*($A42/100))</f>
        <v>2.16106970345098</v>
      </c>
      <c r="W42" s="9" t="n">
        <f aca="false">W$5*(1+A_pore*W$6*($A42/100))/(1-W$6*(1+((1-phimax_pore)/phimax_pore^2)*($A42/100))*($A42/100))</f>
        <v>2.17011598600077</v>
      </c>
      <c r="X42" s="9" t="n">
        <f aca="false">X$5*(1+A_pore*X$6*($A42/100))/(1-X$6*(1+((1-phimax_pore)/phimax_pore^2)*($A42/100))*($A42/100))</f>
        <v>2.17938042732822</v>
      </c>
      <c r="Y42" s="9" t="n">
        <f aca="false">Y$5*(1+A_pore*Y$6*($A42/100))/(1-Y$6*(1+((1-phimax_pore)/phimax_pore^2)*($A42/100))*($A42/100))</f>
        <v>2.18887166821447</v>
      </c>
      <c r="Z42" s="9" t="n">
        <f aca="false">Z$5*(1+A_pore*Z$6*($A42/100))/(1-Z$6*(1+((1-phimax_pore)/phimax_pore^2)*($A42/100))*($A42/100))</f>
        <v>2.19859884084235</v>
      </c>
      <c r="AA42" s="9" t="n">
        <f aca="false">AA$5*(1+A_pore*AA$6*($A42/100))/(1-AA$6*(1+((1-phimax_pore)/phimax_pore^2)*($A42/100))*($A42/100))</f>
        <v>2.20857160574559</v>
      </c>
      <c r="AB42" s="9" t="n">
        <f aca="false">AB$5*(1+A_pore*AB$6*($A42/100))/(1-AB$6*(1+((1-phimax_pore)/phimax_pore^2)*($A42/100))*($A42/100))</f>
        <v>2.2188001922338</v>
      </c>
      <c r="AC42" s="9" t="n">
        <f aca="false">AC$5*(1+A_pore*AC$6*($A42/100))/(1-AC$6*(1+((1-phimax_pore)/phimax_pore^2)*($A42/100))*($A42/100))</f>
        <v>2.22929544268653</v>
      </c>
      <c r="AD42" s="9" t="n">
        <f aca="false">AD$5*(1+A_pore*AD$6*($A42/100))/(1-AD$6*(1+((1-phimax_pore)/phimax_pore^2)*($A42/100))*($A42/100))</f>
        <v>2.24006886116275</v>
      </c>
      <c r="AE42" s="9" t="n">
        <f aca="false">AE$5*(1+A_pore*AE$6*($A42/100))/(1-AE$6*(1+((1-phimax_pore)/phimax_pore^2)*($A42/100))*($A42/100))</f>
        <v>2.25113266683162</v>
      </c>
      <c r="AF42" s="9" t="n">
        <f aca="false">AF$5*(1+A_pore*AF$6*($A42/100))/(1-AF$6*(1+((1-phimax_pore)/phimax_pore^2)*($A42/100))*($A42/100))</f>
        <v>2.2624998528007</v>
      </c>
      <c r="AG42" s="9" t="n">
        <f aca="false">AG$5*(1+A_pore*AG$6*($A42/100))/(1-AG$6*(1+((1-phimax_pore)/phimax_pore^2)*($A42/100))*($A42/100))</f>
        <v>2.2741842509979</v>
      </c>
      <c r="AH42" s="9" t="n">
        <f aca="false">AH$5*(1+A_pore*AH$6*($A42/100))/(1-AH$6*(1+((1-phimax_pore)/phimax_pore^2)*($A42/100))*($A42/100))</f>
        <v>2.28620060385744</v>
      </c>
      <c r="AI42" s="9" t="n">
        <f aca="false">AI$5*(1+A_pore*AI$6*($A42/100))/(1-AI$6*(1+((1-phimax_pore)/phimax_pore^2)*($A42/100))*($A42/100))</f>
        <v>2.29856464366885</v>
      </c>
      <c r="AJ42" s="9" t="n">
        <f aca="false">AJ$5*(1+A_pore*AJ$6*($A42/100))/(1-AJ$6*(1+((1-phimax_pore)/phimax_pore^2)*($A42/100))*($A42/100))</f>
        <v>2.31129318057548</v>
      </c>
      <c r="AK42" s="9" t="n">
        <f aca="false">AK$5*(1+A_pore*AK$6*($A42/100))/(1-AK$6*(1+((1-phimax_pore)/phimax_pore^2)*($A42/100))*($A42/100))</f>
        <v>2.3244042003578</v>
      </c>
    </row>
    <row r="43" customFormat="false" ht="15" hidden="false" customHeight="false" outlineLevel="0" collapsed="false">
      <c r="A43" s="4" t="n">
        <v>34</v>
      </c>
      <c r="B43" s="9" t="n">
        <f aca="false">B$5*(1+A_pore*B$6*($A43/100))/(1-B$6*(1+((1-phimax_pore)/phimax_pore^2)*($A43/100))*($A43/100))</f>
        <v>1.98879609357174</v>
      </c>
      <c r="C43" s="9" t="n">
        <f aca="false">C$5*(1+A_pore*C$6*($A43/100))/(1-C$6*(1+((1-phimax_pore)/phimax_pore^2)*($A43/100))*($A43/100))</f>
        <v>1.99455179214648</v>
      </c>
      <c r="D43" s="9" t="n">
        <f aca="false">D$5*(1+A_pore*D$6*($A43/100))/(1-D$6*(1+((1-phimax_pore)/phimax_pore^2)*($A43/100))*($A43/100))</f>
        <v>2.00041474086068</v>
      </c>
      <c r="E43" s="9" t="n">
        <f aca="false">E$5*(1+A_pore*E$6*($A43/100))/(1-E$6*(1+((1-phimax_pore)/phimax_pore^2)*($A43/100))*($A43/100))</f>
        <v>2.00638814884166</v>
      </c>
      <c r="F43" s="9" t="n">
        <f aca="false">F$5*(1+A_pore*F$6*($A43/100))/(1-F$6*(1+((1-phimax_pore)/phimax_pore^2)*($A43/100))*($A43/100))</f>
        <v>2.01247536130083</v>
      </c>
      <c r="G43" s="9" t="n">
        <f aca="false">G$5*(1+A_pore*G$6*($A43/100))/(1-G$6*(1+((1-phimax_pore)/phimax_pore^2)*($A43/100))*($A43/100))</f>
        <v>2.01867986712289</v>
      </c>
      <c r="H43" s="9" t="n">
        <f aca="false">H$5*(1+A_pore*H$6*($A43/100))/(1-H$6*(1+((1-phimax_pore)/phimax_pore^2)*($A43/100))*($A43/100))</f>
        <v>2.02500530698373</v>
      </c>
      <c r="I43" s="9" t="n">
        <f aca="false">I$5*(1+A_pore*I$6*($A43/100))/(1-I$6*(1+((1-phimax_pore)/phimax_pore^2)*($A43/100))*($A43/100))</f>
        <v>2.0314554820416</v>
      </c>
      <c r="J43" s="9" t="n">
        <f aca="false">J$5*(1+A_pore*J$6*($A43/100))/(1-J$6*(1+((1-phimax_pore)/phimax_pore^2)*($A43/100))*($A43/100))</f>
        <v>2.03803436325026</v>
      </c>
      <c r="K43" s="9" t="n">
        <f aca="false">K$5*(1+A_pore*K$6*($A43/100))/(1-K$6*(1+((1-phimax_pore)/phimax_pore^2)*($A43/100))*($A43/100))</f>
        <v>2.04474610134764</v>
      </c>
      <c r="L43" s="9" t="n">
        <f aca="false">L$5*(1+A_pore*L$6*($A43/100))/(1-L$6*(1+((1-phimax_pore)/phimax_pore^2)*($A43/100))*($A43/100))</f>
        <v>2.05159503757912</v>
      </c>
      <c r="M43" s="9" t="n">
        <f aca="false">M$5*(1+A_pore*M$6*($A43/100))/(1-M$6*(1+((1-phimax_pore)/phimax_pore^2)*($A43/100))*($A43/100))</f>
        <v>2.05858571522041</v>
      </c>
      <c r="N43" s="9" t="n">
        <f aca="false">N$5*(1+A_pore*N$6*($A43/100))/(1-N$6*(1+((1-phimax_pore)/phimax_pore^2)*($A43/100))*($A43/100))</f>
        <v>2.06572289197192</v>
      </c>
      <c r="O43" s="9" t="n">
        <f aca="false">O$5*(1+A_pore*O$6*($A43/100))/(1-O$6*(1+((1-phimax_pore)/phimax_pore^2)*($A43/100))*($A43/100))</f>
        <v>2.07301155330396</v>
      </c>
      <c r="P43" s="9" t="n">
        <f aca="false">P$5*(1+A_pore*P$6*($A43/100))/(1-P$6*(1+((1-phimax_pore)/phimax_pore^2)*($A43/100))*($A43/100))</f>
        <v>2.08045692684062</v>
      </c>
      <c r="Q43" s="9" t="n">
        <f aca="false">Q$5*(1+A_pore*Q$6*($A43/100))/(1-Q$6*(1+((1-phimax_pore)/phimax_pore^2)*($A43/100))*($A43/100))</f>
        <v>2.08806449787972</v>
      </c>
      <c r="R43" s="9" t="n">
        <f aca="false">R$5*(1+A_pore*R$6*($A43/100))/(1-R$6*(1+((1-phimax_pore)/phimax_pore^2)*($A43/100))*($A43/100))</f>
        <v>2.09584002615683</v>
      </c>
      <c r="S43" s="9" t="n">
        <f aca="false">S$5*(1+A_pore*S$6*($A43/100))/(1-S$6*(1+((1-phimax_pore)/phimax_pore^2)*($A43/100))*($A43/100))</f>
        <v>2.10378956397361</v>
      </c>
      <c r="T43" s="9" t="n">
        <f aca="false">T$5*(1+A_pore*T$6*($A43/100))/(1-T$6*(1+((1-phimax_pore)/phimax_pore^2)*($A43/100))*($A43/100))</f>
        <v>2.11191947582396</v>
      </c>
      <c r="U43" s="9" t="n">
        <f aca="false">U$5*(1+A_pore*U$6*($A43/100))/(1-U$6*(1+((1-phimax_pore)/phimax_pore^2)*($A43/100))*($A43/100))</f>
        <v>2.12023645966729</v>
      </c>
      <c r="V43" s="9" t="n">
        <f aca="false">V$5*(1+A_pore*V$6*($A43/100))/(1-V$6*(1+((1-phimax_pore)/phimax_pore^2)*($A43/100))*($A43/100))</f>
        <v>2.12874757001513</v>
      </c>
      <c r="W43" s="9" t="n">
        <f aca="false">W$5*(1+A_pore*W$6*($A43/100))/(1-W$6*(1+((1-phimax_pore)/phimax_pore^2)*($A43/100))*($A43/100))</f>
        <v>2.13746024301739</v>
      </c>
      <c r="X43" s="9" t="n">
        <f aca="false">X$5*(1+A_pore*X$6*($A43/100))/(1-X$6*(1+((1-phimax_pore)/phimax_pore^2)*($A43/100))*($A43/100))</f>
        <v>2.14638232375676</v>
      </c>
      <c r="Y43" s="9" t="n">
        <f aca="false">Y$5*(1+A_pore*Y$6*($A43/100))/(1-Y$6*(1+((1-phimax_pore)/phimax_pore^2)*($A43/100))*($A43/100))</f>
        <v>2.15552209598537</v>
      </c>
      <c r="Z43" s="9" t="n">
        <f aca="false">Z$5*(1+A_pore*Z$6*($A43/100))/(1-Z$6*(1+((1-phimax_pore)/phimax_pore^2)*($A43/100))*($A43/100))</f>
        <v>2.16488831456679</v>
      </c>
      <c r="AA43" s="9" t="n">
        <f aca="false">AA$5*(1+A_pore*AA$6*($A43/100))/(1-AA$6*(1+((1-phimax_pore)/phimax_pore^2)*($A43/100))*($A43/100))</f>
        <v>2.17449024091973</v>
      </c>
      <c r="AB43" s="9" t="n">
        <f aca="false">AB$5*(1+A_pore*AB$6*($A43/100))/(1-AB$6*(1+((1-phimax_pore)/phimax_pore^2)*($A43/100))*($A43/100))</f>
        <v>2.18433768179791</v>
      </c>
      <c r="AC43" s="9" t="n">
        <f aca="false">AC$5*(1+A_pore*AC$6*($A43/100))/(1-AC$6*(1+((1-phimax_pore)/phimax_pore^2)*($A43/100))*($A43/100))</f>
        <v>2.19444103178423</v>
      </c>
      <c r="AD43" s="9" t="n">
        <f aca="false">AD$5*(1+A_pore*AD$6*($A43/100))/(1-AD$6*(1+((1-phimax_pore)/phimax_pore^2)*($A43/100))*($A43/100))</f>
        <v>2.20481131992746</v>
      </c>
      <c r="AE43" s="9" t="n">
        <f aca="false">AE$5*(1+A_pore*AE$6*($A43/100))/(1-AE$6*(1+((1-phimax_pore)/phimax_pore^2)*($A43/100))*($A43/100))</f>
        <v>2.21546026100778</v>
      </c>
      <c r="AF43" s="9" t="n">
        <f aca="false">AF$5*(1+A_pore*AF$6*($A43/100))/(1-AF$6*(1+((1-phimax_pore)/phimax_pore^2)*($A43/100))*($A43/100))</f>
        <v>2.22640031198422</v>
      </c>
      <c r="AG43" s="9" t="n">
        <f aca="false">AG$5*(1+A_pore*AG$6*($A43/100))/(1-AG$6*(1+((1-phimax_pore)/phimax_pore^2)*($A43/100))*($A43/100))</f>
        <v>2.23764473425477</v>
      </c>
      <c r="AH43" s="9" t="n">
        <f aca="false">AH$5*(1+A_pore*AH$6*($A43/100))/(1-AH$6*(1+((1-phimax_pore)/phimax_pore^2)*($A43/100))*($A43/100))</f>
        <v>2.24920766244957</v>
      </c>
      <c r="AI43" s="9" t="n">
        <f aca="false">AI$5*(1+A_pore*AI$6*($A43/100))/(1-AI$6*(1+((1-phimax_pore)/phimax_pore^2)*($A43/100))*($A43/100))</f>
        <v>2.26110418058278</v>
      </c>
      <c r="AJ43" s="9" t="n">
        <f aca="false">AJ$5*(1+A_pore*AJ$6*($A43/100))/(1-AJ$6*(1+((1-phimax_pore)/phimax_pore^2)*($A43/100))*($A43/100))</f>
        <v>2.27335040651053</v>
      </c>
      <c r="AK43" s="9" t="n">
        <f aca="false">AK$5*(1+A_pore*AK$6*($A43/100))/(1-AK$6*(1+((1-phimax_pore)/phimax_pore^2)*($A43/100))*($A43/100))</f>
        <v>2.28596358578588</v>
      </c>
    </row>
    <row r="44" customFormat="false" ht="15" hidden="false" customHeight="false" outlineLevel="0" collapsed="false">
      <c r="A44" s="4" t="n">
        <v>35</v>
      </c>
      <c r="B44" s="9" t="n">
        <f aca="false">B$5*(1+A_pore*B$6*($A44/100))/(1-B$6*(1+((1-phimax_pore)/phimax_pore^2)*($A44/100))*($A44/100))</f>
        <v>1.96235186825884</v>
      </c>
      <c r="C44" s="9" t="n">
        <f aca="false">C$5*(1+A_pore*C$6*($A44/100))/(1-C$6*(1+((1-phimax_pore)/phimax_pore^2)*($A44/100))*($A44/100))</f>
        <v>1.96790367304057</v>
      </c>
      <c r="D44" s="9" t="n">
        <f aca="false">D$5*(1+A_pore*D$6*($A44/100))/(1-D$6*(1+((1-phimax_pore)/phimax_pore^2)*($A44/100))*($A44/100))</f>
        <v>1.97355855508044</v>
      </c>
      <c r="E44" s="9" t="n">
        <f aca="false">E$5*(1+A_pore*E$6*($A44/100))/(1-E$6*(1+((1-phimax_pore)/phimax_pore^2)*($A44/100))*($A44/100))</f>
        <v>1.97931959268336</v>
      </c>
      <c r="F44" s="9" t="n">
        <f aca="false">F$5*(1+A_pore*F$6*($A44/100))/(1-F$6*(1+((1-phimax_pore)/phimax_pore^2)*($A44/100))*($A44/100))</f>
        <v>1.98518999460806</v>
      </c>
      <c r="G44" s="9" t="n">
        <f aca="false">G$5*(1+A_pore*G$6*($A44/100))/(1-G$6*(1+((1-phimax_pore)/phimax_pore^2)*($A44/100))*($A44/100))</f>
        <v>1.99117310734337</v>
      </c>
      <c r="H44" s="9" t="n">
        <f aca="false">H$5*(1+A_pore*H$6*($A44/100))/(1-H$6*(1+((1-phimax_pore)/phimax_pore^2)*($A44/100))*($A44/100))</f>
        <v>1.99727242289182</v>
      </c>
      <c r="I44" s="9" t="n">
        <f aca="false">I$5*(1+A_pore*I$6*($A44/100))/(1-I$6*(1+((1-phimax_pore)/phimax_pore^2)*($A44/100))*($A44/100))</f>
        <v>2.00349158710313</v>
      </c>
      <c r="J44" s="9" t="n">
        <f aca="false">J$5*(1+A_pore*J$6*($A44/100))/(1-J$6*(1+((1-phimax_pore)/phimax_pore^2)*($A44/100))*($A44/100))</f>
        <v>2.00983440860432</v>
      </c>
      <c r="K44" s="9" t="n">
        <f aca="false">K$5*(1+A_pore*K$6*($A44/100))/(1-K$6*(1+((1-phimax_pore)/phimax_pore^2)*($A44/100))*($A44/100))</f>
        <v>2.01630486837808</v>
      </c>
      <c r="L44" s="9" t="n">
        <f aca="false">L$5*(1+A_pore*L$6*($A44/100))/(1-L$6*(1+((1-phimax_pore)/phimax_pore^2)*($A44/100))*($A44/100))</f>
        <v>2.02290713004583</v>
      </c>
      <c r="M44" s="9" t="n">
        <f aca="false">M$5*(1+A_pore*M$6*($A44/100))/(1-M$6*(1+((1-phimax_pore)/phimax_pore^2)*($A44/100))*($A44/100))</f>
        <v>2.0296455509181</v>
      </c>
      <c r="N44" s="9" t="n">
        <f aca="false">N$5*(1+A_pore*N$6*($A44/100))/(1-N$6*(1+((1-phimax_pore)/phimax_pore^2)*($A44/100))*($A44/100))</f>
        <v>2.03652469388108</v>
      </c>
      <c r="O44" s="9" t="n">
        <f aca="false">O$5*(1+A_pore*O$6*($A44/100))/(1-O$6*(1+((1-phimax_pore)/phimax_pore^2)*($A44/100))*($A44/100))</f>
        <v>2.04354934019566</v>
      </c>
      <c r="P44" s="9" t="n">
        <f aca="false">P$5*(1+A_pore*P$6*($A44/100))/(1-P$6*(1+((1-phimax_pore)/phimax_pore^2)*($A44/100))*($A44/100))</f>
        <v>2.05072450329321</v>
      </c>
      <c r="Q44" s="9" t="n">
        <f aca="false">Q$5*(1+A_pore*Q$6*($A44/100))/(1-Q$6*(1+((1-phimax_pore)/phimax_pore^2)*($A44/100))*($A44/100))</f>
        <v>2.0580554436616</v>
      </c>
      <c r="R44" s="9" t="n">
        <f aca="false">R$5*(1+A_pore*R$6*($A44/100))/(1-R$6*(1+((1-phimax_pore)/phimax_pore^2)*($A44/100))*($A44/100))</f>
        <v>2.06554768492536</v>
      </c>
      <c r="S44" s="9" t="n">
        <f aca="false">S$5*(1+A_pore*S$6*($A44/100))/(1-S$6*(1+((1-phimax_pore)/phimax_pore^2)*($A44/100))*($A44/100))</f>
        <v>2.07320703123514</v>
      </c>
      <c r="T44" s="9" t="n">
        <f aca="false">T$5*(1+A_pore*T$6*($A44/100))/(1-T$6*(1+((1-phimax_pore)/phimax_pore^2)*($A44/100))*($A44/100))</f>
        <v>2.08103958609504</v>
      </c>
      <c r="U44" s="9" t="n">
        <f aca="false">U$5*(1+A_pore*U$6*($A44/100))/(1-U$6*(1+((1-phimax_pore)/phimax_pore^2)*($A44/100))*($A44/100))</f>
        <v>2.08905177277083</v>
      </c>
      <c r="V44" s="9" t="n">
        <f aca="false">V$5*(1+A_pore*V$6*($A44/100))/(1-V$6*(1+((1-phimax_pore)/phimax_pore^2)*($A44/100))*($A44/100))</f>
        <v>2.0972503564391</v>
      </c>
      <c r="W44" s="9" t="n">
        <f aca="false">W$5*(1+A_pore*W$6*($A44/100))/(1-W$6*(1+((1-phimax_pore)/phimax_pore^2)*($A44/100))*($A44/100))</f>
        <v>2.10564246825592</v>
      </c>
      <c r="X44" s="9" t="n">
        <f aca="false">X$5*(1+A_pore*X$6*($A44/100))/(1-X$6*(1+((1-phimax_pore)/phimax_pore^2)*($A44/100))*($A44/100))</f>
        <v>2.11423563154564</v>
      </c>
      <c r="Y44" s="9" t="n">
        <f aca="false">Y$5*(1+A_pore*Y$6*($A44/100))/(1-Y$6*(1+((1-phimax_pore)/phimax_pore^2)*($A44/100))*($A44/100))</f>
        <v>2.12303779033433</v>
      </c>
      <c r="Z44" s="9" t="n">
        <f aca="false">Z$5*(1+A_pore*Z$6*($A44/100))/(1-Z$6*(1+((1-phimax_pore)/phimax_pore^2)*($A44/100))*($A44/100))</f>
        <v>2.13205734048102</v>
      </c>
      <c r="AA44" s="9" t="n">
        <f aca="false">AA$5*(1+A_pore*AA$6*($A44/100))/(1-AA$6*(1+((1-phimax_pore)/phimax_pore^2)*($A44/100))*($A44/100))</f>
        <v>2.14130316369108</v>
      </c>
      <c r="AB44" s="9" t="n">
        <f aca="false">AB$5*(1+A_pore*AB$6*($A44/100))/(1-AB$6*(1+((1-phimax_pore)/phimax_pore^2)*($A44/100))*($A44/100))</f>
        <v>2.1507846647334</v>
      </c>
      <c r="AC44" s="9" t="n">
        <f aca="false">AC$5*(1+A_pore*AC$6*($A44/100))/(1-AC$6*(1+((1-phimax_pore)/phimax_pore^2)*($A44/100))*($A44/100))</f>
        <v>2.16051181222434</v>
      </c>
      <c r="AD44" s="9" t="n">
        <f aca="false">AD$5*(1+A_pore*AD$6*($A44/100))/(1-AD$6*(1+((1-phimax_pore)/phimax_pore^2)*($A44/100))*($A44/100))</f>
        <v>2.17049518339025</v>
      </c>
      <c r="AE44" s="9" t="n">
        <f aca="false">AE$5*(1+A_pore*AE$6*($A44/100))/(1-AE$6*(1+((1-phimax_pore)/phimax_pore^2)*($A44/100))*($A44/100))</f>
        <v>2.18074601327558</v>
      </c>
      <c r="AF44" s="9" t="n">
        <f aca="false">AF$5*(1+A_pore*AF$6*($A44/100))/(1-AF$6*(1+((1-phimax_pore)/phimax_pore^2)*($A44/100))*($A44/100))</f>
        <v>2.19127624892826</v>
      </c>
      <c r="AG44" s="9" t="n">
        <f aca="false">AG$5*(1+A_pore*AG$6*($A44/100))/(1-AG$6*(1+((1-phimax_pore)/phimax_pore^2)*($A44/100))*($A44/100))</f>
        <v>2.20209860916826</v>
      </c>
      <c r="AH44" s="9" t="n">
        <f aca="false">AH$5*(1+A_pore*AH$6*($A44/100))/(1-AH$6*(1+((1-phimax_pore)/phimax_pore^2)*($A44/100))*($A44/100))</f>
        <v>2.21322665063187</v>
      </c>
      <c r="AI44" s="9" t="n">
        <f aca="false">AI$5*(1+A_pore*AI$6*($A44/100))/(1-AI$6*(1+((1-phimax_pore)/phimax_pore^2)*($A44/100))*($A44/100))</f>
        <v>2.22467484088503</v>
      </c>
      <c r="AJ44" s="9" t="n">
        <f aca="false">AJ$5*(1+A_pore*AJ$6*($A44/100))/(1-AJ$6*(1+((1-phimax_pore)/phimax_pore^2)*($A44/100))*($A44/100))</f>
        <v>2.23645863951626</v>
      </c>
      <c r="AK44" s="9" t="n">
        <f aca="false">AK$5*(1+A_pore*AK$6*($A44/100))/(1-AK$6*(1+((1-phimax_pore)/phimax_pore^2)*($A44/100))*($A44/100))</f>
        <v>2.24859458825774</v>
      </c>
    </row>
    <row r="45" customFormat="false" ht="15" hidden="false" customHeight="false" outlineLevel="0" collapsed="false">
      <c r="A45" s="4" t="n">
        <v>36</v>
      </c>
      <c r="B45" s="9" t="n">
        <f aca="false">B$5*(1+A_pore*B$6*($A45/100))/(1-B$6*(1+((1-phimax_pore)/phimax_pore^2)*($A45/100))*($A45/100))</f>
        <v>1.93651298357181</v>
      </c>
      <c r="C45" s="9" t="n">
        <f aca="false">C$5*(1+A_pore*C$6*($A45/100))/(1-C$6*(1+((1-phimax_pore)/phimax_pore^2)*($A45/100))*($A45/100))</f>
        <v>1.94186822865898</v>
      </c>
      <c r="D45" s="9" t="n">
        <f aca="false">D$5*(1+A_pore*D$6*($A45/100))/(1-D$6*(1+((1-phimax_pore)/phimax_pore^2)*($A45/100))*($A45/100))</f>
        <v>1.94732255333059</v>
      </c>
      <c r="E45" s="9" t="n">
        <f aca="false">E$5*(1+A_pore*E$6*($A45/100))/(1-E$6*(1+((1-phimax_pore)/phimax_pore^2)*($A45/100))*($A45/100))</f>
        <v>1.95287891108161</v>
      </c>
      <c r="F45" s="9" t="n">
        <f aca="false">F$5*(1+A_pore*F$6*($A45/100))/(1-F$6*(1+((1-phimax_pore)/phimax_pore^2)*($A45/100))*($A45/100))</f>
        <v>1.95854038050221</v>
      </c>
      <c r="G45" s="9" t="n">
        <f aca="false">G$5*(1+A_pore*G$6*($A45/100))/(1-G$6*(1+((1-phimax_pore)/phimax_pore^2)*($A45/100))*($A45/100))</f>
        <v>1.96431017225655</v>
      </c>
      <c r="H45" s="9" t="n">
        <f aca="false">H$5*(1+A_pore*H$6*($A45/100))/(1-H$6*(1+((1-phimax_pore)/phimax_pore^2)*($A45/100))*($A45/100))</f>
        <v>1.97019163654855</v>
      </c>
      <c r="I45" s="9" t="n">
        <f aca="false">I$5*(1+A_pore*I$6*($A45/100))/(1-I$6*(1+((1-phimax_pore)/phimax_pore^2)*($A45/100))*($A45/100))</f>
        <v>1.97618827111525</v>
      </c>
      <c r="J45" s="9" t="n">
        <f aca="false">J$5*(1+A_pore*J$6*($A45/100))/(1-J$6*(1+((1-phimax_pore)/phimax_pore^2)*($A45/100))*($A45/100))</f>
        <v>1.98230372979288</v>
      </c>
      <c r="K45" s="9" t="n">
        <f aca="false">K$5*(1+A_pore*K$6*($A45/100))/(1-K$6*(1+((1-phimax_pore)/phimax_pore^2)*($A45/100))*($A45/100))</f>
        <v>1.98854183170505</v>
      </c>
      <c r="L45" s="9" t="n">
        <f aca="false">L$5*(1+A_pore*L$6*($A45/100))/(1-L$6*(1+((1-phimax_pore)/phimax_pore^2)*($A45/100))*($A45/100))</f>
        <v>1.99490657112735</v>
      </c>
      <c r="M45" s="9" t="n">
        <f aca="false">M$5*(1+A_pore*M$6*($A45/100))/(1-M$6*(1+((1-phimax_pore)/phimax_pore^2)*($A45/100))*($A45/100))</f>
        <v>2.00140212808845</v>
      </c>
      <c r="N45" s="9" t="n">
        <f aca="false">N$5*(1+A_pore*N$6*($A45/100))/(1-N$6*(1+((1-phimax_pore)/phimax_pore^2)*($A45/100))*($A45/100))</f>
        <v>2.00803287977394</v>
      </c>
      <c r="O45" s="9" t="n">
        <f aca="false">O$5*(1+A_pore*O$6*($A45/100))/(1-O$6*(1+((1-phimax_pore)/phimax_pore^2)*($A45/100))*($A45/100))</f>
        <v>2.01480341280604</v>
      </c>
      <c r="P45" s="9" t="n">
        <f aca="false">P$5*(1+A_pore*P$6*($A45/100))/(1-P$6*(1+((1-phimax_pore)/phimax_pore^2)*($A45/100))*($A45/100))</f>
        <v>2.02171853648023</v>
      </c>
      <c r="Q45" s="9" t="n">
        <f aca="false">Q$5*(1+A_pore*Q$6*($A45/100))/(1-Q$6*(1+((1-phimax_pore)/phimax_pore^2)*($A45/100))*($A45/100))</f>
        <v>2.02878329704867</v>
      </c>
      <c r="R45" s="9" t="n">
        <f aca="false">R$5*(1+A_pore*R$6*($A45/100))/(1-R$6*(1+((1-phimax_pore)/phimax_pore^2)*($A45/100))*($A45/100))</f>
        <v>2.03600299314998</v>
      </c>
      <c r="S45" s="9" t="n">
        <f aca="false">S$5*(1+A_pore*S$6*($A45/100))/(1-S$6*(1+((1-phimax_pore)/phimax_pore^2)*($A45/100))*($A45/100))</f>
        <v>2.04338319249637</v>
      </c>
      <c r="T45" s="9" t="n">
        <f aca="false">T$5*(1+A_pore*T$6*($A45/100))/(1-T$6*(1+((1-phimax_pore)/phimax_pore^2)*($A45/100))*($A45/100))</f>
        <v>2.05092974994127</v>
      </c>
      <c r="U45" s="9" t="n">
        <f aca="false">U$5*(1+A_pore*U$6*($A45/100))/(1-U$6*(1+((1-phimax_pore)/phimax_pore^2)*($A45/100))*($A45/100))</f>
        <v>2.05864882706516</v>
      </c>
      <c r="V45" s="9" t="n">
        <f aca="false">V$5*(1+A_pore*V$6*($A45/100))/(1-V$6*(1+((1-phimax_pore)/phimax_pore^2)*($A45/100))*($A45/100))</f>
        <v>2.06654691343321</v>
      </c>
      <c r="W45" s="9" t="n">
        <f aca="false">W$5*(1+A_pore*W$6*($A45/100))/(1-W$6*(1+((1-phimax_pore)/phimax_pore^2)*($A45/100))*($A45/100))</f>
        <v>2.07463084969641</v>
      </c>
      <c r="X45" s="9" t="n">
        <f aca="false">X$5*(1+A_pore*X$6*($A45/100))/(1-X$6*(1+((1-phimax_pore)/phimax_pore^2)*($A45/100))*($A45/100))</f>
        <v>2.0829078527289</v>
      </c>
      <c r="Y45" s="9" t="n">
        <f aca="false">Y$5*(1+A_pore*Y$6*($A45/100))/(1-Y$6*(1+((1-phimax_pore)/phimax_pore^2)*($A45/100))*($A45/100))</f>
        <v>2.09138554301731</v>
      </c>
      <c r="Z45" s="9" t="n">
        <f aca="false">Z$5*(1+A_pore*Z$6*($A45/100))/(1-Z$6*(1+((1-phimax_pore)/phimax_pore^2)*($A45/100))*($A45/100))</f>
        <v>2.10007197454538</v>
      </c>
      <c r="AA45" s="9" t="n">
        <f aca="false">AA$5*(1+A_pore*AA$6*($A45/100))/(1-AA$6*(1+((1-phimax_pore)/phimax_pore^2)*($A45/100))*($A45/100))</f>
        <v>2.10897566744713</v>
      </c>
      <c r="AB45" s="9" t="n">
        <f aca="false">AB$5*(1+A_pore*AB$6*($A45/100))/(1-AB$6*(1+((1-phimax_pore)/phimax_pore^2)*($A45/100))*($A45/100))</f>
        <v>2.11810564373762</v>
      </c>
      <c r="AC45" s="9" t="n">
        <f aca="false">AC$5*(1+A_pore*AC$6*($A45/100))/(1-AC$6*(1+((1-phimax_pore)/phimax_pore^2)*($A45/100))*($A45/100))</f>
        <v>2.12747146647047</v>
      </c>
      <c r="AD45" s="9" t="n">
        <f aca="false">AD$5*(1+A_pore*AD$6*($A45/100))/(1-AD$6*(1+((1-phimax_pore)/phimax_pore^2)*($A45/100))*($A45/100))</f>
        <v>2.13708328271751</v>
      </c>
      <c r="AE45" s="9" t="n">
        <f aca="false">AE$5*(1+A_pore*AE$6*($A45/100))/(1-AE$6*(1+((1-phimax_pore)/phimax_pore^2)*($A45/100))*($A45/100))</f>
        <v>2.14695187081993</v>
      </c>
      <c r="AF45" s="9" t="n">
        <f aca="false">AF$5*(1+A_pore*AF$6*($A45/100))/(1-AF$6*(1+((1-phimax_pore)/phimax_pore^2)*($A45/100))*($A45/100))</f>
        <v>2.15708869242166</v>
      </c>
      <c r="AG45" s="9" t="n">
        <f aca="false">AG$5*(1+A_pore*AG$6*($A45/100))/(1-AG$6*(1+((1-phimax_pore)/phimax_pore^2)*($A45/100))*($A45/100))</f>
        <v>2.16750594986769</v>
      </c>
      <c r="AH45" s="9" t="n">
        <f aca="false">AH$5*(1+A_pore*AH$6*($A45/100))/(1-AH$6*(1+((1-phimax_pore)/phimax_pore^2)*($A45/100))*($A45/100))</f>
        <v>2.17821664963299</v>
      </c>
      <c r="AI45" s="9" t="n">
        <f aca="false">AI$5*(1+A_pore*AI$6*($A45/100))/(1-AI$6*(1+((1-phimax_pore)/phimax_pore^2)*($A45/100))*($A45/100))</f>
        <v>2.18923467254469</v>
      </c>
      <c r="AJ45" s="9" t="n">
        <f aca="false">AJ$5*(1+A_pore*AJ$6*($A45/100))/(1-AJ$6*(1+((1-phimax_pore)/phimax_pore^2)*($A45/100))*($A45/100))</f>
        <v>2.20057485167314</v>
      </c>
      <c r="AK45" s="9" t="n">
        <f aca="false">AK$5*(1+A_pore*AK$6*($A45/100))/(1-AK$6*(1+((1-phimax_pore)/phimax_pore^2)*($A45/100))*($A45/100))</f>
        <v>2.21225305889982</v>
      </c>
    </row>
    <row r="46" customFormat="false" ht="15" hidden="false" customHeight="false" outlineLevel="0" collapsed="false">
      <c r="A46" s="4" t="n">
        <v>37</v>
      </c>
      <c r="B46" s="9" t="n">
        <f aca="false">B$5*(1+A_pore*B$6*($A46/100))/(1-B$6*(1+((1-phimax_pore)/phimax_pore^2)*($A46/100))*($A46/100))</f>
        <v>1.91125891238936</v>
      </c>
      <c r="C46" s="9" t="n">
        <f aca="false">C$5*(1+A_pore*C$6*($A46/100))/(1-C$6*(1+((1-phimax_pore)/phimax_pore^2)*($A46/100))*($A46/100))</f>
        <v>1.91642459334326</v>
      </c>
      <c r="D46" s="9" t="n">
        <f aca="false">D$5*(1+A_pore*D$6*($A46/100))/(1-D$6*(1+((1-phimax_pore)/phimax_pore^2)*($A46/100))*($A46/100))</f>
        <v>1.92168552199442</v>
      </c>
      <c r="E46" s="9" t="n">
        <f aca="false">E$5*(1+A_pore*E$6*($A46/100))/(1-E$6*(1+((1-phimax_pore)/phimax_pore^2)*($A46/100))*($A46/100))</f>
        <v>1.92704453268168</v>
      </c>
      <c r="F46" s="9" t="n">
        <f aca="false">F$5*(1+A_pore*F$6*($A46/100))/(1-F$6*(1+((1-phimax_pore)/phimax_pore^2)*($A46/100))*($A46/100))</f>
        <v>1.93250457973465</v>
      </c>
      <c r="G46" s="9" t="n">
        <f aca="false">G$5*(1+A_pore*G$6*($A46/100))/(1-G$6*(1+((1-phimax_pore)/phimax_pore^2)*($A46/100))*($A46/100))</f>
        <v>1.93806874416952</v>
      </c>
      <c r="H46" s="9" t="n">
        <f aca="false">H$5*(1+A_pore*H$6*($A46/100))/(1-H$6*(1+((1-phimax_pore)/phimax_pore^2)*($A46/100))*($A46/100))</f>
        <v>1.94374024085224</v>
      </c>
      <c r="I46" s="9" t="n">
        <f aca="false">I$5*(1+A_pore*I$6*($A46/100))/(1-I$6*(1+((1-phimax_pore)/phimax_pore^2)*($A46/100))*($A46/100))</f>
        <v>1.94952242616827</v>
      </c>
      <c r="J46" s="9" t="n">
        <f aca="false">J$5*(1+A_pore*J$6*($A46/100))/(1-J$6*(1+((1-phimax_pore)/phimax_pore^2)*($A46/100))*($A46/100))</f>
        <v>1.95541880624218</v>
      </c>
      <c r="K46" s="9" t="n">
        <f aca="false">K$5*(1+A_pore*K$6*($A46/100))/(1-K$6*(1+((1-phimax_pore)/phimax_pore^2)*($A46/100))*($A46/100))</f>
        <v>1.9614330457545</v>
      </c>
      <c r="L46" s="9" t="n">
        <f aca="false">L$5*(1+A_pore*L$6*($A46/100))/(1-L$6*(1+((1-phimax_pore)/phimax_pore^2)*($A46/100))*($A46/100))</f>
        <v>1.96756897740811</v>
      </c>
      <c r="M46" s="9" t="n">
        <f aca="false">M$5*(1+A_pore*M$6*($A46/100))/(1-M$6*(1+((1-phimax_pore)/phimax_pore^2)*($A46/100))*($A46/100))</f>
        <v>1.97383061210178</v>
      </c>
      <c r="N46" s="9" t="n">
        <f aca="false">N$5*(1+A_pore*N$6*($A46/100))/(1-N$6*(1+((1-phimax_pore)/phimax_pore^2)*($A46/100))*($A46/100))</f>
        <v>1.98022214987453</v>
      </c>
      <c r="O46" s="9" t="n">
        <f aca="false">O$5*(1+A_pore*O$6*($A46/100))/(1-O$6*(1+((1-phimax_pore)/phimax_pore^2)*($A46/100))*($A46/100))</f>
        <v>1.98674799169117</v>
      </c>
      <c r="P46" s="9" t="n">
        <f aca="false">P$5*(1+A_pore*P$6*($A46/100))/(1-P$6*(1+((1-phimax_pore)/phimax_pore^2)*($A46/100))*($A46/100))</f>
        <v>1.9934127521468</v>
      </c>
      <c r="Q46" s="9" t="n">
        <f aca="false">Q$5*(1+A_pore*Q$6*($A46/100))/(1-Q$6*(1+((1-phimax_pore)/phimax_pore^2)*($A46/100))*($A46/100))</f>
        <v>2.00022127317658</v>
      </c>
      <c r="R46" s="9" t="n">
        <f aca="false">R$5*(1+A_pore*R$6*($A46/100))/(1-R$6*(1+((1-phimax_pore)/phimax_pore^2)*($A46/100))*($A46/100))</f>
        <v>2.00717863886667</v>
      </c>
      <c r="S46" s="9" t="n">
        <f aca="false">S$5*(1+A_pore*S$6*($A46/100))/(1-S$6*(1+((1-phimax_pore)/phimax_pore^2)*($A46/100))*($A46/100))</f>
        <v>2.01429019147271</v>
      </c>
      <c r="T46" s="9" t="n">
        <f aca="false">T$5*(1+A_pore*T$6*($A46/100))/(1-T$6*(1+((1-phimax_pore)/phimax_pore^2)*($A46/100))*($A46/100))</f>
        <v>2.02156154876449</v>
      </c>
      <c r="U46" s="9" t="n">
        <f aca="false">U$5*(1+A_pore*U$6*($A46/100))/(1-U$6*(1+((1-phimax_pore)/phimax_pore^2)*($A46/100))*($A46/100))</f>
        <v>2.02899862282897</v>
      </c>
      <c r="V46" s="9" t="n">
        <f aca="false">V$5*(1+A_pore*V$6*($A46/100))/(1-V$6*(1+((1-phimax_pore)/phimax_pore^2)*($A46/100))*($A46/100))</f>
        <v>2.03660764047924</v>
      </c>
      <c r="W46" s="9" t="n">
        <f aca="false">W$5*(1+A_pore*W$6*($A46/100))/(1-W$6*(1+((1-phimax_pore)/phimax_pore^2)*($A46/100))*($A46/100))</f>
        <v>2.04439516543472</v>
      </c>
      <c r="X46" s="9" t="n">
        <f aca="false">X$5*(1+A_pore*X$6*($A46/100))/(1-X$6*(1+((1-phimax_pore)/phimax_pore^2)*($A46/100))*($A46/100))</f>
        <v>2.05236812245749</v>
      </c>
      <c r="Y46" s="9" t="n">
        <f aca="false">Y$5*(1+A_pore*Y$6*($A46/100))/(1-Y$6*(1+((1-phimax_pore)/phimax_pore^2)*($A46/100))*($A46/100))</f>
        <v>2.06053382365255</v>
      </c>
      <c r="Z46" s="9" t="n">
        <f aca="false">Z$5*(1+A_pore*Z$6*($A46/100))/(1-Z$6*(1+((1-phimax_pore)/phimax_pore^2)*($A46/100))*($A46/100))</f>
        <v>2.0688999971655</v>
      </c>
      <c r="AA46" s="9" t="n">
        <f aca="false">AA$5*(1+A_pore*AA$6*($A46/100))/(1-AA$6*(1+((1-phimax_pore)/phimax_pore^2)*($A46/100))*($A46/100))</f>
        <v>2.07747481854072</v>
      </c>
      <c r="AB46" s="9" t="n">
        <f aca="false">AB$5*(1+A_pore*AB$6*($A46/100))/(1-AB$6*(1+((1-phimax_pore)/phimax_pore^2)*($A46/100))*($A46/100))</f>
        <v>2.08626694503699</v>
      </c>
      <c r="AC46" s="9" t="n">
        <f aca="false">AC$5*(1+A_pore*AC$6*($A46/100))/(1-AC$6*(1+((1-phimax_pore)/phimax_pore^2)*($A46/100))*($A46/100))</f>
        <v>2.09528555323615</v>
      </c>
      <c r="AD46" s="9" t="n">
        <f aca="false">AD$5*(1+A_pore*AD$6*($A46/100))/(1-AD$6*(1+((1-phimax_pore)/phimax_pore^2)*($A46/100))*($A46/100))</f>
        <v>2.10454038032526</v>
      </c>
      <c r="AE46" s="9" t="n">
        <f aca="false">AE$5*(1+A_pore*AE$6*($A46/100))/(1-AE$6*(1+((1-phimax_pore)/phimax_pore^2)*($A46/100))*($A46/100))</f>
        <v>2.11404176948399</v>
      </c>
      <c r="AF46" s="9" t="n">
        <f aca="false">AF$5*(1+A_pore*AF$6*($A46/100))/(1-AF$6*(1+((1-phimax_pore)/phimax_pore^2)*($A46/100))*($A46/100))</f>
        <v>2.12380071986871</v>
      </c>
      <c r="AG46" s="9" t="n">
        <f aca="false">AG$5*(1+A_pore*AG$6*($A46/100))/(1-AG$6*(1+((1-phimax_pore)/phimax_pore^2)*($A46/100))*($A46/100))</f>
        <v>2.13382894175323</v>
      </c>
      <c r="AH46" s="9" t="n">
        <f aca="false">AH$5*(1+A_pore*AH$6*($A46/100))/(1-AH$6*(1+((1-phimax_pore)/phimax_pore^2)*($A46/100))*($A46/100))</f>
        <v>2.14413891746678</v>
      </c>
      <c r="AI46" s="9" t="n">
        <f aca="false">AI$5*(1+A_pore*AI$6*($A46/100))/(1-AI$6*(1+((1-phimax_pore)/phimax_pore^2)*($A46/100))*($A46/100))</f>
        <v>2.15474396886225</v>
      </c>
      <c r="AJ46" s="9" t="n">
        <f aca="false">AJ$5*(1+A_pore*AJ$6*($A46/100))/(1-AJ$6*(1+((1-phimax_pore)/phimax_pore^2)*($A46/100))*($A46/100))</f>
        <v>2.16565833215712</v>
      </c>
      <c r="AK46" s="9" t="n">
        <f aca="false">AK$5*(1+A_pore*AK$6*($A46/100))/(1-AK$6*(1+((1-phimax_pore)/phimax_pore^2)*($A46/100))*($A46/100))</f>
        <v>2.17689724111629</v>
      </c>
    </row>
    <row r="47" customFormat="false" ht="15" hidden="false" customHeight="false" outlineLevel="0" collapsed="false">
      <c r="A47" s="4" t="n">
        <v>38</v>
      </c>
      <c r="B47" s="9" t="n">
        <f aca="false">B$5*(1+A_pore*B$6*($A47/100))/(1-B$6*(1+((1-phimax_pore)/phimax_pore^2)*($A47/100))*($A47/100))</f>
        <v>1.88657004530811</v>
      </c>
      <c r="C47" s="9" t="n">
        <f aca="false">C$5*(1+A_pore*C$6*($A47/100))/(1-C$6*(1+((1-phimax_pore)/phimax_pore^2)*($A47/100))*($A47/100))</f>
        <v>1.89155283827662</v>
      </c>
      <c r="D47" s="9" t="n">
        <f aca="false">D$5*(1+A_pore*D$6*($A47/100))/(1-D$6*(1+((1-phimax_pore)/phimax_pore^2)*($A47/100))*($A47/100))</f>
        <v>1.89662720403144</v>
      </c>
      <c r="E47" s="9" t="n">
        <f aca="false">E$5*(1+A_pore*E$6*($A47/100))/(1-E$6*(1+((1-phimax_pore)/phimax_pore^2)*($A47/100))*($A47/100))</f>
        <v>1.90179586307608</v>
      </c>
      <c r="F47" s="9" t="n">
        <f aca="false">F$5*(1+A_pore*F$6*($A47/100))/(1-F$6*(1+((1-phimax_pore)/phimax_pore^2)*($A47/100))*($A47/100))</f>
        <v>1.90706165103863</v>
      </c>
      <c r="G47" s="9" t="n">
        <f aca="false">G$5*(1+A_pore*G$6*($A47/100))/(1-G$6*(1+((1-phimax_pore)/phimax_pore^2)*($A47/100))*($A47/100))</f>
        <v>1.91242752509794</v>
      </c>
      <c r="H47" s="9" t="n">
        <f aca="false">H$5*(1+A_pore*H$6*($A47/100))/(1-H$6*(1+((1-phimax_pore)/phimax_pore^2)*($A47/100))*($A47/100))</f>
        <v>1.91789657085861</v>
      </c>
      <c r="I47" s="9" t="n">
        <f aca="false">I$5*(1+A_pore*I$6*($A47/100))/(1-I$6*(1+((1-phimax_pore)/phimax_pore^2)*($A47/100))*($A47/100))</f>
        <v>1.92347200971248</v>
      </c>
      <c r="J47" s="9" t="n">
        <f aca="false">J$5*(1+A_pore*J$6*($A47/100))/(1-J$6*(1+((1-phimax_pore)/phimax_pore^2)*($A47/100))*($A47/100))</f>
        <v>1.92915720672814</v>
      </c>
      <c r="K47" s="9" t="n">
        <f aca="false">K$5*(1+A_pore*K$6*($A47/100))/(1-K$6*(1+((1-phimax_pore)/phimax_pore^2)*($A47/100))*($A47/100))</f>
        <v>1.9349556791141</v>
      </c>
      <c r="L47" s="9" t="n">
        <f aca="false">L$5*(1+A_pore*L$6*($A47/100))/(1-L$6*(1+((1-phimax_pore)/phimax_pore^2)*($A47/100))*($A47/100))</f>
        <v>1.9408711053058</v>
      </c>
      <c r="M47" s="9" t="n">
        <f aca="false">M$5*(1+A_pore*M$6*($A47/100))/(1-M$6*(1+((1-phimax_pore)/phimax_pore^2)*($A47/100))*($A47/100))</f>
        <v>1.94690733473186</v>
      </c>
      <c r="N47" s="9" t="n">
        <f aca="false">N$5*(1+A_pore*N$6*($A47/100))/(1-N$6*(1+((1-phimax_pore)/phimax_pore^2)*($A47/100))*($A47/100))</f>
        <v>1.95306839832079</v>
      </c>
      <c r="O47" s="9" t="n">
        <f aca="false">O$5*(1+A_pore*O$6*($A47/100))/(1-O$6*(1+((1-phimax_pore)/phimax_pore^2)*($A47/100))*($A47/100))</f>
        <v>1.95935851981566</v>
      </c>
      <c r="P47" s="9" t="n">
        <f aca="false">P$5*(1+A_pore*P$6*($A47/100))/(1-P$6*(1+((1-phimax_pore)/phimax_pore^2)*($A47/100))*($A47/100))</f>
        <v>1.96578212797167</v>
      </c>
      <c r="Q47" s="9" t="n">
        <f aca="false">Q$5*(1+A_pore*Q$6*($A47/100))/(1-Q$6*(1+((1-phimax_pore)/phimax_pore^2)*($A47/100))*($A47/100))</f>
        <v>1.97234386971947</v>
      </c>
      <c r="R47" s="9" t="n">
        <f aca="false">R$5*(1+A_pore*R$6*($A47/100))/(1-R$6*(1+((1-phimax_pore)/phimax_pore^2)*($A47/100))*($A47/100))</f>
        <v>1.97904862438643</v>
      </c>
      <c r="S47" s="9" t="n">
        <f aca="false">S$5*(1+A_pore*S$6*($A47/100))/(1-S$6*(1+((1-phimax_pore)/phimax_pore^2)*($A47/100))*($A47/100))</f>
        <v>1.98590151907818</v>
      </c>
      <c r="T47" s="9" t="n">
        <f aca="false">T$5*(1+A_pore*T$6*($A47/100))/(1-T$6*(1+((1-phimax_pore)/phimax_pore^2)*($A47/100))*($A47/100))</f>
        <v>1.99290794533432</v>
      </c>
      <c r="U47" s="9" t="n">
        <f aca="false">U$5*(1+A_pore*U$6*($A47/100))/(1-U$6*(1+((1-phimax_pore)/phimax_pore^2)*($A47/100))*($A47/100))</f>
        <v>2.0000735771856</v>
      </c>
      <c r="V47" s="9" t="n">
        <f aca="false">V$5*(1+A_pore*V$6*($A47/100))/(1-V$6*(1+((1-phimax_pore)/phimax_pore^2)*($A47/100))*($A47/100))</f>
        <v>2.00740439075431</v>
      </c>
      <c r="W47" s="9" t="n">
        <f aca="false">W$5*(1+A_pore*W$6*($A47/100))/(1-W$6*(1+((1-phimax_pore)/phimax_pore^2)*($A47/100))*($A47/100))</f>
        <v>2.01490668555682</v>
      </c>
      <c r="X47" s="9" t="n">
        <f aca="false">X$5*(1+A_pore*X$6*($A47/100))/(1-X$6*(1+((1-phimax_pore)/phimax_pore^2)*($A47/100))*($A47/100))</f>
        <v>2.02258710768608</v>
      </c>
      <c r="Y47" s="9" t="n">
        <f aca="false">Y$5*(1+A_pore*Y$6*($A47/100))/(1-Y$6*(1+((1-phimax_pore)/phimax_pore^2)*($A47/100))*($A47/100))</f>
        <v>2.03045267507393</v>
      </c>
      <c r="Z47" s="9" t="n">
        <f aca="false">Z$5*(1+A_pore*Z$6*($A47/100))/(1-Z$6*(1+((1-phimax_pore)/phimax_pore^2)*($A47/100))*($A47/100))</f>
        <v>2.03851080505771</v>
      </c>
      <c r="AA47" s="9" t="n">
        <f aca="false">AA$5*(1+A_pore*AA$6*($A47/100))/(1-AA$6*(1+((1-phimax_pore)/phimax_pore^2)*($A47/100))*($A47/100))</f>
        <v>2.04676934450419</v>
      </c>
      <c r="AB47" s="9" t="n">
        <f aca="false">AB$5*(1+A_pore*AB$6*($A47/100))/(1-AB$6*(1+((1-phimax_pore)/phimax_pore^2)*($A47/100))*($A47/100))</f>
        <v>2.05523660277626</v>
      </c>
      <c r="AC47" s="9" t="n">
        <f aca="false">AC$5*(1+A_pore*AC$6*($A47/100))/(1-AC$6*(1+((1-phimax_pore)/phimax_pore^2)*($A47/100))*($A47/100))</f>
        <v>2.06392138786541</v>
      </c>
      <c r="AD47" s="9" t="n">
        <f aca="false">AD$5*(1+A_pore*AD$6*($A47/100))/(1-AD$6*(1+((1-phimax_pore)/phimax_pore^2)*($A47/100))*($A47/100))</f>
        <v>2.07283304605566</v>
      </c>
      <c r="AE47" s="9" t="n">
        <f aca="false">AE$5*(1+A_pore*AE$6*($A47/100))/(1-AE$6*(1+((1-phimax_pore)/phimax_pore^2)*($A47/100))*($A47/100))</f>
        <v>2.08198150553431</v>
      </c>
      <c r="AF47" s="9" t="n">
        <f aca="false">AF$5*(1+A_pore*AF$6*($A47/100))/(1-AF$6*(1+((1-phimax_pore)/phimax_pore^2)*($A47/100))*($A47/100))</f>
        <v>2.09137732442223</v>
      </c>
      <c r="AG47" s="9" t="n">
        <f aca="false">AG$5*(1+A_pore*AG$6*($A47/100))/(1-AG$6*(1+((1-phimax_pore)/phimax_pore^2)*($A47/100))*($A47/100))</f>
        <v>2.10103174376229</v>
      </c>
      <c r="AH47" s="9" t="n">
        <f aca="false">AH$5*(1+A_pore*AH$6*($A47/100))/(1-AH$6*(1+((1-phimax_pore)/phimax_pore^2)*($A47/100))*($A47/100))</f>
        <v>2.11095674608215</v>
      </c>
      <c r="AI47" s="9" t="n">
        <f aca="false">AI$5*(1+A_pore*AI$6*($A47/100))/(1-AI$6*(1+((1-phimax_pore)/phimax_pore^2)*($A47/100))*($A47/100))</f>
        <v>2.12116512023647</v>
      </c>
      <c r="AJ47" s="9" t="n">
        <f aca="false">AJ$5*(1+A_pore*AJ$6*($A47/100))/(1-AJ$6*(1+((1-phimax_pore)/phimax_pore^2)*($A47/100))*($A47/100))</f>
        <v>2.13167053333918</v>
      </c>
      <c r="AK47" s="9" t="n">
        <f aca="false">AK$5*(1+A_pore*AK$6*($A47/100))/(1-AK$6*(1+((1-phimax_pore)/phimax_pore^2)*($A47/100))*($A47/100))</f>
        <v>2.14248761071798</v>
      </c>
    </row>
    <row r="48" customFormat="false" ht="15" hidden="false" customHeight="false" outlineLevel="0" collapsed="false">
      <c r="A48" s="4" t="n">
        <v>39</v>
      </c>
      <c r="B48" s="9" t="n">
        <f aca="false">B$5*(1+A_pore*B$6*($A48/100))/(1-B$6*(1+((1-phimax_pore)/phimax_pore^2)*($A48/100))*($A48/100))</f>
        <v>1.86242763992325</v>
      </c>
      <c r="C48" s="9" t="n">
        <f aca="false">C$5*(1+A_pore*C$6*($A48/100))/(1-C$6*(1+((1-phimax_pore)/phimax_pore^2)*($A48/100))*($A48/100))</f>
        <v>1.86723391948876</v>
      </c>
      <c r="D48" s="9" t="n">
        <f aca="false">D$5*(1+A_pore*D$6*($A48/100))/(1-D$6*(1+((1-phimax_pore)/phimax_pore^2)*($A48/100))*($A48/100))</f>
        <v>1.87212824566026</v>
      </c>
      <c r="E48" s="9" t="n">
        <f aca="false">E$5*(1+A_pore*E$6*($A48/100))/(1-E$6*(1+((1-phimax_pore)/phimax_pore^2)*($A48/100))*($A48/100))</f>
        <v>1.8771132301174</v>
      </c>
      <c r="F48" s="9" t="n">
        <f aca="false">F$5*(1+A_pore*F$6*($A48/100))/(1-F$6*(1+((1-phimax_pore)/phimax_pore^2)*($A48/100))*($A48/100))</f>
        <v>1.88219159502154</v>
      </c>
      <c r="G48" s="9" t="n">
        <f aca="false">G$5*(1+A_pore*G$6*($A48/100))/(1-G$6*(1+((1-phimax_pore)/phimax_pore^2)*($A48/100))*($A48/100))</f>
        <v>1.88736617918494</v>
      </c>
      <c r="H48" s="9" t="n">
        <f aca="false">H$5*(1+A_pore*H$6*($A48/100))/(1-H$6*(1+((1-phimax_pore)/phimax_pore^2)*($A48/100))*($A48/100))</f>
        <v>1.89263994467093</v>
      </c>
      <c r="I48" s="9" t="n">
        <f aca="false">I$5*(1+A_pore*I$6*($A48/100))/(1-I$6*(1+((1-phimax_pore)/phimax_pore^2)*($A48/100))*($A48/100))</f>
        <v>1.89801598386148</v>
      </c>
      <c r="J48" s="9" t="n">
        <f aca="false">J$5*(1+A_pore*J$6*($A48/100))/(1-J$6*(1+((1-phimax_pore)/phimax_pore^2)*($A48/100))*($A48/100))</f>
        <v>1.90349752703204</v>
      </c>
      <c r="K48" s="9" t="n">
        <f aca="false">K$5*(1+A_pore*K$6*($A48/100))/(1-K$6*(1+((1-phimax_pore)/phimax_pore^2)*($A48/100))*($A48/100))</f>
        <v>1.9090879504774</v>
      </c>
      <c r="L48" s="9" t="n">
        <f aca="false">L$5*(1+A_pore*L$6*($A48/100))/(1-L$6*(1+((1-phimax_pore)/phimax_pore^2)*($A48/100))*($A48/100))</f>
        <v>1.91479078523701</v>
      </c>
      <c r="M48" s="9" t="n">
        <f aca="false">M$5*(1+A_pore*M$6*($A48/100))/(1-M$6*(1+((1-phimax_pore)/phimax_pore^2)*($A48/100))*($A48/100))</f>
        <v>1.92060972647285</v>
      </c>
      <c r="N48" s="9" t="n">
        <f aca="false">N$5*(1+A_pore*N$6*($A48/100))/(1-N$6*(1+((1-phimax_pore)/phimax_pore^2)*($A48/100))*($A48/100))</f>
        <v>1.92654864355881</v>
      </c>
      <c r="O48" s="9" t="n">
        <f aca="false">O$5*(1+A_pore*O$6*($A48/100))/(1-O$6*(1+((1-phimax_pore)/phimax_pore^2)*($A48/100))*($A48/100))</f>
        <v>1.93261159094638</v>
      </c>
      <c r="P48" s="9" t="n">
        <f aca="false">P$5*(1+A_pore*P$6*($A48/100))/(1-P$6*(1+((1-phimax_pore)/phimax_pore^2)*($A48/100))*($A48/100))</f>
        <v>1.93880281987881</v>
      </c>
      <c r="Q48" s="9" t="n">
        <f aca="false">Q$5*(1+A_pore*Q$6*($A48/100))/(1-Q$6*(1+((1-phimax_pore)/phimax_pore^2)*($A48/100))*($A48/100))</f>
        <v>1.94512679103333</v>
      </c>
      <c r="R48" s="9" t="n">
        <f aca="false">R$5*(1+A_pore*R$6*($A48/100))/(1-R$6*(1+((1-phimax_pore)/phimax_pore^2)*($A48/100))*($A48/100))</f>
        <v>1.95158818818005</v>
      </c>
      <c r="S48" s="9" t="n">
        <f aca="false">S$5*(1+A_pore*S$6*($A48/100))/(1-S$6*(1+((1-phimax_pore)/phimax_pore^2)*($A48/100))*($A48/100))</f>
        <v>1.95819193295604</v>
      </c>
      <c r="T48" s="9" t="n">
        <f aca="false">T$5*(1+A_pore*T$6*($A48/100))/(1-T$6*(1+((1-phimax_pore)/phimax_pore^2)*($A48/100))*($A48/100))</f>
        <v>1.96494320086407</v>
      </c>
      <c r="U48" s="9" t="n">
        <f aca="false">U$5*(1+A_pore*U$6*($A48/100))/(1-U$6*(1+((1-phimax_pore)/phimax_pore^2)*($A48/100))*($A48/100))</f>
        <v>1.97184743861834</v>
      </c>
      <c r="V48" s="9" t="n">
        <f aca="false">V$5*(1+A_pore*V$6*($A48/100))/(1-V$6*(1+((1-phimax_pore)/phimax_pore^2)*($A48/100))*($A48/100))</f>
        <v>1.97891038297367</v>
      </c>
      <c r="W48" s="9" t="n">
        <f aca="false">W$5*(1+A_pore*W$6*($A48/100))/(1-W$6*(1+((1-phimax_pore)/phimax_pore^2)*($A48/100))*($A48/100))</f>
        <v>1.98613808119086</v>
      </c>
      <c r="X48" s="9" t="n">
        <f aca="false">X$5*(1+A_pore*X$6*($A48/100))/(1-X$6*(1+((1-phimax_pore)/phimax_pore^2)*($A48/100))*($A48/100))</f>
        <v>1.99353691330947</v>
      </c>
      <c r="Y48" s="9" t="n">
        <f aca="false">Y$5*(1+A_pore*Y$6*($A48/100))/(1-Y$6*(1+((1-phimax_pore)/phimax_pore^2)*($A48/100))*($A48/100))</f>
        <v>2.00111361641985</v>
      </c>
      <c r="Z48" s="9" t="n">
        <f aca="false">Z$5*(1+A_pore*Z$6*($A48/100))/(1-Z$6*(1+((1-phimax_pore)/phimax_pore^2)*($A48/100))*($A48/100))</f>
        <v>2.00887531115081</v>
      </c>
      <c r="AA48" s="9" t="n">
        <f aca="false">AA$5*(1+A_pore*AA$6*($A48/100))/(1-AA$6*(1+((1-phimax_pore)/phimax_pore^2)*($A48/100))*($A48/100))</f>
        <v>2.01682953061591</v>
      </c>
      <c r="AB48" s="9" t="n">
        <f aca="false">AB$5*(1+A_pore*AB$6*($A48/100))/(1-AB$6*(1+((1-phimax_pore)/phimax_pore^2)*($A48/100))*($A48/100))</f>
        <v>2.02498425209333</v>
      </c>
      <c r="AC48" s="9" t="n">
        <f aca="false">AC$5*(1+A_pore*AC$6*($A48/100))/(1-AC$6*(1+((1-phimax_pore)/phimax_pore^2)*($A48/100))*($A48/100))</f>
        <v>2.03334793174967</v>
      </c>
      <c r="AD48" s="9" t="n">
        <f aca="false">AD$5*(1+A_pore*AD$6*($A48/100))/(1-AD$6*(1+((1-phimax_pore)/phimax_pore^2)*($A48/100))*($A48/100))</f>
        <v>2.04192954275983</v>
      </c>
      <c r="AE48" s="9" t="n">
        <f aca="false">AE$5*(1+A_pore*AE$6*($A48/100))/(1-AE$6*(1+((1-phimax_pore)/phimax_pore^2)*($A48/100))*($A48/100))</f>
        <v>2.05073861722237</v>
      </c>
      <c r="AF48" s="9" t="n">
        <f aca="false">AF$5*(1+A_pore*AF$6*($A48/100))/(1-AF$6*(1+((1-phimax_pore)/phimax_pore^2)*($A48/100))*($A48/100))</f>
        <v>2.05978529232514</v>
      </c>
      <c r="AG48" s="9" t="n">
        <f aca="false">AG$5*(1+A_pore*AG$6*($A48/100))/(1-AG$6*(1+((1-phimax_pore)/phimax_pore^2)*($A48/100))*($A48/100))</f>
        <v>2.06908036127961</v>
      </c>
      <c r="AH48" s="9" t="n">
        <f aca="false">AH$5*(1+A_pore*AH$6*($A48/100))/(1-AH$6*(1+((1-phimax_pore)/phimax_pore^2)*($A48/100))*($A48/100))</f>
        <v>2.07863532961649</v>
      </c>
      <c r="AI48" s="9" t="n">
        <f aca="false">AI$5*(1+A_pore*AI$6*($A48/100))/(1-AI$6*(1+((1-phimax_pore)/phimax_pore^2)*($A48/100))*($A48/100))</f>
        <v>2.08846247752147</v>
      </c>
      <c r="AJ48" s="9" t="n">
        <f aca="false">AJ$5*(1+A_pore*AJ$6*($A48/100))/(1-AJ$6*(1+((1-phimax_pore)/phimax_pore^2)*($A48/100))*($A48/100))</f>
        <v>2.09857492899062</v>
      </c>
      <c r="AK48" s="9" t="n">
        <f aca="false">AK$5*(1+A_pore*AK$6*($A48/100))/(1-AK$6*(1+((1-phimax_pore)/phimax_pore^2)*($A48/100))*($A48/100))</f>
        <v>2.10898672870292</v>
      </c>
    </row>
    <row r="49" customFormat="false" ht="15" hidden="false" customHeight="false" outlineLevel="0" collapsed="false">
      <c r="A49" s="4" t="n">
        <v>40</v>
      </c>
      <c r="B49" s="9" t="n">
        <f aca="false">B$5*(1+A_pore*B$6*($A49/100))/(1-B$6*(1+((1-phimax_pore)/phimax_pore^2)*($A49/100))*($A49/100))</f>
        <v>1.83881377343623</v>
      </c>
      <c r="C49" s="9" t="n">
        <f aca="false">C$5*(1+A_pore*C$6*($A49/100))/(1-C$6*(1+((1-phimax_pore)/phimax_pore^2)*($A49/100))*($A49/100))</f>
        <v>1.84344962928567</v>
      </c>
      <c r="D49" s="9" t="n">
        <f aca="false">D$5*(1+A_pore*D$6*($A49/100))/(1-D$6*(1+((1-phimax_pore)/phimax_pore^2)*($A49/100))*($A49/100))</f>
        <v>1.84817014656844</v>
      </c>
      <c r="E49" s="9" t="n">
        <f aca="false">E$5*(1+A_pore*E$6*($A49/100))/(1-E$6*(1+((1-phimax_pore)/phimax_pore^2)*($A49/100))*($A49/100))</f>
        <v>1.85297783286401</v>
      </c>
      <c r="F49" s="9" t="n">
        <f aca="false">F$5*(1+A_pore*F$6*($A49/100))/(1-F$6*(1+((1-phimax_pore)/phimax_pore^2)*($A49/100))*($A49/100))</f>
        <v>1.85787530180044</v>
      </c>
      <c r="G49" s="9" t="n">
        <f aca="false">G$5*(1+A_pore*G$6*($A49/100))/(1-G$6*(1+((1-phimax_pore)/phimax_pore^2)*($A49/100))*($A49/100))</f>
        <v>1.86286527897819</v>
      </c>
      <c r="H49" s="9" t="n">
        <f aca="false">H$5*(1+A_pore*H$6*($A49/100))/(1-H$6*(1+((1-phimax_pore)/phimax_pore^2)*($A49/100))*($A49/100))</f>
        <v>1.86795060830809</v>
      </c>
      <c r="I49" s="9" t="n">
        <f aca="false">I$5*(1+A_pore*I$6*($A49/100))/(1-I$6*(1+((1-phimax_pore)/phimax_pore^2)*($A49/100))*($A49/100))</f>
        <v>1.87313425879841</v>
      </c>
      <c r="J49" s="9" t="n">
        <f aca="false">J$5*(1+A_pore*J$6*($A49/100))/(1-J$6*(1+((1-phimax_pore)/phimax_pore^2)*($A49/100))*($A49/100))</f>
        <v>1.87841933182937</v>
      </c>
      <c r="K49" s="9" t="n">
        <f aca="false">K$5*(1+A_pore*K$6*($A49/100))/(1-K$6*(1+((1-phimax_pore)/phimax_pore^2)*($A49/100))*($A49/100))</f>
        <v>1.88380906895712</v>
      </c>
      <c r="L49" s="9" t="n">
        <f aca="false">L$5*(1+A_pore*L$6*($A49/100))/(1-L$6*(1+((1-phimax_pore)/phimax_pore^2)*($A49/100))*($A49/100))</f>
        <v>1.88930686029386</v>
      </c>
      <c r="M49" s="9" t="n">
        <f aca="false">M$5*(1+A_pore*M$6*($A49/100))/(1-M$6*(1+((1-phimax_pore)/phimax_pore^2)*($A49/100))*($A49/100))</f>
        <v>1.89491625351506</v>
      </c>
      <c r="N49" s="9" t="n">
        <f aca="false">N$5*(1+A_pore*N$6*($A49/100))/(1-N$6*(1+((1-phimax_pore)/phimax_pore^2)*($A49/100))*($A49/100))</f>
        <v>1.90064096355047</v>
      </c>
      <c r="O49" s="9" t="n">
        <f aca="false">O$5*(1+A_pore*O$6*($A49/100))/(1-O$6*(1+((1-phimax_pore)/phimax_pore^2)*($A49/100))*($A49/100))</f>
        <v>1.90648488302134</v>
      </c>
      <c r="P49" s="9" t="n">
        <f aca="false">P$5*(1+A_pore*P$6*($A49/100))/(1-P$6*(1+((1-phimax_pore)/phimax_pore^2)*($A49/100))*($A49/100))</f>
        <v>1.91245209349315</v>
      </c>
      <c r="Q49" s="9" t="n">
        <f aca="false">Q$5*(1+A_pore*Q$6*($A49/100))/(1-Q$6*(1+((1-phimax_pore)/phimax_pore^2)*($A49/100))*($A49/100))</f>
        <v>1.91854687762039</v>
      </c>
      <c r="R49" s="9" t="n">
        <f aca="false">R$5*(1+A_pore*R$6*($A49/100))/(1-R$6*(1+((1-phimax_pore)/phimax_pore^2)*($A49/100))*($A49/100))</f>
        <v>1.92477373226872</v>
      </c>
      <c r="S49" s="9" t="n">
        <f aca="false">S$5*(1+A_pore*S$6*($A49/100))/(1-S$6*(1+((1-phimax_pore)/phimax_pore^2)*($A49/100))*($A49/100))</f>
        <v>1.93113738270914</v>
      </c>
      <c r="T49" s="9" t="n">
        <f aca="false">T$5*(1+A_pore*T$6*($A49/100))/(1-T$6*(1+((1-phimax_pore)/phimax_pore^2)*($A49/100))*($A49/100))</f>
        <v>1.93764279798954</v>
      </c>
      <c r="U49" s="9" t="n">
        <f aca="false">U$5*(1+A_pore*U$6*($A49/100))/(1-U$6*(1+((1-phimax_pore)/phimax_pore^2)*($A49/100))*($A49/100))</f>
        <v>1.94429520760125</v>
      </c>
      <c r="V49" s="9" t="n">
        <f aca="false">V$5*(1+A_pore*V$6*($A49/100))/(1-V$6*(1+((1-phimax_pore)/phimax_pore^2)*($A49/100))*($A49/100))</f>
        <v>1.95110011957198</v>
      </c>
      <c r="W49" s="9" t="n">
        <f aca="false">W$5*(1+A_pore*W$6*($A49/100))/(1-W$6*(1+((1-phimax_pore)/phimax_pore^2)*($A49/100))*($A49/100))</f>
        <v>1.95806334013188</v>
      </c>
      <c r="X49" s="9" t="n">
        <f aca="false">X$5*(1+A_pore*X$6*($A49/100))/(1-X$6*(1+((1-phimax_pore)/phimax_pore^2)*($A49/100))*($A49/100))</f>
        <v>1.96519099511756</v>
      </c>
      <c r="Y49" s="9" t="n">
        <f aca="false">Y$5*(1+A_pore*Y$6*($A49/100))/(1-Y$6*(1+((1-phimax_pore)/phimax_pore^2)*($A49/100))*($A49/100))</f>
        <v>1.97248955329877</v>
      </c>
      <c r="Z49" s="9" t="n">
        <f aca="false">Z$5*(1+A_pore*Z$6*($A49/100))/(1-Z$6*(1+((1-phimax_pore)/phimax_pore^2)*($A49/100))*($A49/100))</f>
        <v>1.97996585183556</v>
      </c>
      <c r="AA49" s="9" t="n">
        <f aca="false">AA$5*(1+A_pore*AA$6*($A49/100))/(1-AA$6*(1+((1-phimax_pore)/phimax_pore^2)*($A49/100))*($A49/100))</f>
        <v>1.98762712410012</v>
      </c>
      <c r="AB49" s="9" t="n">
        <f aca="false">AB$5*(1+A_pore*AB$6*($A49/100))/(1-AB$6*(1+((1-phimax_pore)/phimax_pore^2)*($A49/100))*($A49/100))</f>
        <v>1.99548103012757</v>
      </c>
      <c r="AC49" s="9" t="n">
        <f aca="false">AC$5*(1+A_pore*AC$6*($A49/100))/(1-AC$6*(1+((1-phimax_pore)/phimax_pore^2)*($A49/100))*($A49/100))</f>
        <v>2.00353568999444</v>
      </c>
      <c r="AD49" s="9" t="n">
        <f aca="false">AD$5*(1+A_pore*AD$6*($A49/100))/(1-AD$6*(1+((1-phimax_pore)/phimax_pore^2)*($A49/100))*($A49/100))</f>
        <v>2.01179972046366</v>
      </c>
      <c r="AE49" s="9" t="n">
        <f aca="false">AE$5*(1+A_pore*AE$6*($A49/100))/(1-AE$6*(1+((1-phimax_pore)/phimax_pore^2)*($A49/100))*($A49/100))</f>
        <v>2.02028227528047</v>
      </c>
      <c r="AF49" s="9" t="n">
        <f aca="false">AF$5*(1+A_pore*AF$6*($A49/100))/(1-AF$6*(1+((1-phimax_pore)/phimax_pore^2)*($A49/100))*($A49/100))</f>
        <v>2.02899308955686</v>
      </c>
      <c r="AG49" s="9" t="n">
        <f aca="false">AG$5*(1+A_pore*AG$6*($A49/100))/(1-AG$6*(1+((1-phimax_pore)/phimax_pore^2)*($A49/100))*($A49/100))</f>
        <v>2.03794252874336</v>
      </c>
      <c r="AH49" s="9" t="n">
        <f aca="false">AH$5*(1+A_pore*AH$6*($A49/100))/(1-AH$6*(1+((1-phimax_pore)/phimax_pore^2)*($A49/100))*($A49/100))</f>
        <v>2.04714164275871</v>
      </c>
      <c r="AI49" s="9" t="n">
        <f aca="false">AI$5*(1+A_pore*AI$6*($A49/100))/(1-AI$6*(1+((1-phimax_pore)/phimax_pore^2)*($A49/100))*($A49/100))</f>
        <v>2.0566022259305</v>
      </c>
      <c r="AJ49" s="9" t="n">
        <f aca="false">AJ$5*(1+A_pore*AJ$6*($A49/100))/(1-AJ$6*(1+((1-phimax_pore)/phimax_pore^2)*($A49/100))*($A49/100))</f>
        <v>2.06633688349721</v>
      </c>
      <c r="AK49" s="9" t="n">
        <f aca="false">AK$5*(1+A_pore*AK$6*($A49/100))/(1-AK$6*(1+((1-phimax_pore)/phimax_pore^2)*($A49/100))*($A49/100))</f>
        <v>2.07635910553545</v>
      </c>
    </row>
    <row r="50" customFormat="false" ht="15" hidden="false" customHeight="false" outlineLevel="0" collapsed="false">
      <c r="A50" s="4" t="n">
        <v>41</v>
      </c>
      <c r="B50" s="9" t="n">
        <f aca="false">B$5*(1+A_pore*B$6*($A50/100))/(1-B$6*(1+((1-phimax_pore)/phimax_pore^2)*($A50/100))*($A50/100))</f>
        <v>1.81571129833745</v>
      </c>
      <c r="C50" s="9" t="n">
        <f aca="false">C$5*(1+A_pore*C$6*($A50/100))/(1-C$6*(1+((1-phimax_pore)/phimax_pore^2)*($A50/100))*($A50/100))</f>
        <v>1.82018255084394</v>
      </c>
      <c r="D50" s="9" t="n">
        <f aca="false">D$5*(1+A_pore*D$6*($A50/100))/(1-D$6*(1+((1-phimax_pore)/phimax_pore^2)*($A50/100))*($A50/100))</f>
        <v>1.82473521337976</v>
      </c>
      <c r="E50" s="9" t="n">
        <f aca="false">E$5*(1+A_pore*E$6*($A50/100))/(1-E$6*(1+((1-phimax_pore)/phimax_pore^2)*($A50/100))*($A50/100))</f>
        <v>1.82937169388014</v>
      </c>
      <c r="F50" s="9" t="n">
        <f aca="false">F$5*(1+A_pore*F$6*($A50/100))/(1-F$6*(1+((1-phimax_pore)/phimax_pore^2)*($A50/100))*($A50/100))</f>
        <v>1.83409450209272</v>
      </c>
      <c r="G50" s="9" t="n">
        <f aca="false">G$5*(1+A_pore*G$6*($A50/100))/(1-G$6*(1+((1-phimax_pore)/phimax_pore^2)*($A50/100))*($A50/100))</f>
        <v>1.83890625526701</v>
      </c>
      <c r="H50" s="9" t="n">
        <f aca="false">H$5*(1+A_pore*H$6*($A50/100))/(1-H$6*(1+((1-phimax_pore)/phimax_pore^2)*($A50/100))*($A50/100))</f>
        <v>1.84380968424198</v>
      </c>
      <c r="I50" s="9" t="n">
        <f aca="false">I$5*(1+A_pore*I$6*($A50/100))/(1-I$6*(1+((1-phimax_pore)/phimax_pore^2)*($A50/100))*($A50/100))</f>
        <v>1.84880763996513</v>
      </c>
      <c r="J50" s="9" t="n">
        <f aca="false">J$5*(1+A_pore*J$6*($A50/100))/(1-J$6*(1+((1-phimax_pore)/phimax_pore^2)*($A50/100))*($A50/100))</f>
        <v>1.85390310048016</v>
      </c>
      <c r="K50" s="9" t="n">
        <f aca="false">K$5*(1+A_pore*K$6*($A50/100))/(1-K$6*(1+((1-phimax_pore)/phimax_pore^2)*($A50/100))*($A50/100))</f>
        <v>1.85909917842354</v>
      </c>
      <c r="L50" s="9" t="n">
        <f aca="false">L$5*(1+A_pore*L$6*($A50/100))/(1-L$6*(1+((1-phimax_pore)/phimax_pore^2)*($A50/100))*($A50/100))</f>
        <v>1.8643991290748</v>
      </c>
      <c r="M50" s="9" t="n">
        <f aca="false">M$5*(1+A_pore*M$6*($A50/100))/(1-M$6*(1+((1-phimax_pore)/phimax_pore^2)*($A50/100))*($A50/100))</f>
        <v>1.86980635900972</v>
      </c>
      <c r="N50" s="9" t="n">
        <f aca="false">N$5*(1+A_pore*N$6*($A50/100))/(1-N$6*(1+((1-phimax_pore)/phimax_pore^2)*($A50/100))*($A50/100))</f>
        <v>1.87532443541079</v>
      </c>
      <c r="O50" s="9" t="n">
        <f aca="false">O$5*(1+A_pore*O$6*($A50/100))/(1-O$6*(1+((1-phimax_pore)/phimax_pore^2)*($A50/100))*($A50/100))</f>
        <v>1.88095709609514</v>
      </c>
      <c r="P50" s="9" t="n">
        <f aca="false">P$5*(1+A_pore*P$6*($A50/100))/(1-P$6*(1+((1-phimax_pore)/phimax_pore^2)*($A50/100))*($A50/100))</f>
        <v>1.88670826032633</v>
      </c>
      <c r="Q50" s="9" t="n">
        <f aca="false">Q$5*(1+A_pore*Q$6*($A50/100))/(1-Q$6*(1+((1-phimax_pore)/phimax_pore^2)*($A50/100))*($A50/100))</f>
        <v>1.89258204048402</v>
      </c>
      <c r="R50" s="9" t="n">
        <f aca="false">R$5*(1+A_pore*R$6*($A50/100))/(1-R$6*(1+((1-phimax_pore)/phimax_pore^2)*($A50/100))*($A50/100))</f>
        <v>1.89858275467323</v>
      </c>
      <c r="S50" s="9" t="n">
        <f aca="false">S$5*(1+A_pore*S$6*($A50/100))/(1-S$6*(1+((1-phimax_pore)/phimax_pore^2)*($A50/100))*($A50/100))</f>
        <v>1.90471494036443</v>
      </c>
      <c r="T50" s="9" t="n">
        <f aca="false">T$5*(1+A_pore*T$6*($A50/100))/(1-T$6*(1+((1-phimax_pore)/phimax_pore^2)*($A50/100))*($A50/100))</f>
        <v>1.91098336916582</v>
      </c>
      <c r="U50" s="9" t="n">
        <f aca="false">U$5*(1+A_pore*U$6*($A50/100))/(1-U$6*(1+((1-phimax_pore)/phimax_pore^2)*($A50/100))*($A50/100))</f>
        <v>1.91739306284091</v>
      </c>
      <c r="V50" s="9" t="n">
        <f aca="false">V$5*(1+A_pore*V$6*($A50/100))/(1-V$6*(1+((1-phimax_pore)/phimax_pore^2)*($A50/100))*($A50/100))</f>
        <v>1.9239493106978</v>
      </c>
      <c r="W50" s="9" t="n">
        <f aca="false">W$5*(1+A_pore*W$6*($A50/100))/(1-W$6*(1+((1-phimax_pore)/phimax_pore^2)*($A50/100))*($A50/100))</f>
        <v>1.93065768849149</v>
      </c>
      <c r="X50" s="9" t="n">
        <f aca="false">X$5*(1+A_pore*X$6*($A50/100))/(1-X$6*(1+((1-phimax_pore)/phimax_pore^2)*($A50/100))*($A50/100))</f>
        <v>1.93752407899764</v>
      </c>
      <c r="Y50" s="9" t="n">
        <f aca="false">Y$5*(1+A_pore*Y$6*($A50/100))/(1-Y$6*(1+((1-phimax_pore)/phimax_pore^2)*($A50/100))*($A50/100))</f>
        <v>1.94455469443554</v>
      </c>
      <c r="Z50" s="9" t="n">
        <f aca="false">Z$5*(1+A_pore*Z$6*($A50/100))/(1-Z$6*(1+((1-phimax_pore)/phimax_pore^2)*($A50/100))*($A50/100))</f>
        <v>1.95175610094052</v>
      </c>
      <c r="AA50" s="9" t="n">
        <f aca="false">AA$5*(1+A_pore*AA$6*($A50/100))/(1-AA$6*(1+((1-phimax_pore)/phimax_pore^2)*($A50/100))*($A50/100))</f>
        <v>1.95913524531083</v>
      </c>
      <c r="AB50" s="9" t="n">
        <f aca="false">AB$5*(1+A_pore*AB$6*($A50/100))/(1-AB$6*(1+((1-phimax_pore)/phimax_pore^2)*($A50/100))*($A50/100))</f>
        <v>1.96669948428346</v>
      </c>
      <c r="AC50" s="9" t="n">
        <f aca="false">AC$5*(1+A_pore*AC$6*($A50/100))/(1-AC$6*(1+((1-phimax_pore)/phimax_pore^2)*($A50/100))*($A50/100))</f>
        <v>1.97445661662664</v>
      </c>
      <c r="AD50" s="9" t="n">
        <f aca="false">AD$5*(1+A_pore*AD$6*($A50/100))/(1-AD$6*(1+((1-phimax_pore)/phimax_pore^2)*($A50/100))*($A50/100))</f>
        <v>1.98241491837464</v>
      </c>
      <c r="AE50" s="9" t="n">
        <f aca="false">AE$5*(1+A_pore*AE$6*($A50/100))/(1-AE$6*(1+((1-phimax_pore)/phimax_pore^2)*($A50/100))*($A50/100))</f>
        <v>1.99058318157533</v>
      </c>
      <c r="AF50" s="9" t="n">
        <f aca="false">AF$5*(1+A_pore*AF$6*($A50/100))/(1-AF$6*(1+((1-phimax_pore)/phimax_pore^2)*($A50/100))*($A50/100))</f>
        <v>1.99897075697137</v>
      </c>
      <c r="AG50" s="9" t="n">
        <f aca="false">AG$5*(1+A_pore*AG$6*($A50/100))/(1-AG$6*(1+((1-phimax_pore)/phimax_pore^2)*($A50/100))*($A50/100))</f>
        <v>2.00758760109539</v>
      </c>
      <c r="AH50" s="9" t="n">
        <f aca="false">AH$5*(1+A_pore*AH$6*($A50/100))/(1-AH$6*(1+((1-phimax_pore)/phimax_pore^2)*($A50/100))*($A50/100))</f>
        <v>2.01644432832817</v>
      </c>
      <c r="AI50" s="9" t="n">
        <f aca="false">AI$5*(1+A_pore*AI$6*($A50/100))/(1-AI$6*(1+((1-phimax_pore)/phimax_pore^2)*($A50/100))*($A50/100))</f>
        <v>2.02555226854866</v>
      </c>
      <c r="AJ50" s="9" t="n">
        <f aca="false">AJ$5*(1+A_pore*AJ$6*($A50/100))/(1-AJ$6*(1+((1-phimax_pore)/phimax_pore^2)*($A50/100))*($A50/100))</f>
        <v>2.03492353109809</v>
      </c>
      <c r="AK50" s="9" t="n">
        <f aca="false">AK$5*(1+A_pore*AK$6*($A50/100))/(1-AK$6*(1+((1-phimax_pore)/phimax_pore^2)*($A50/100))*($A50/100))</f>
        <v>2.04457107588979</v>
      </c>
    </row>
    <row r="51" customFormat="false" ht="15" hidden="false" customHeight="false" outlineLevel="0" collapsed="false">
      <c r="A51" s="4" t="n">
        <v>42</v>
      </c>
      <c r="B51" s="9" t="n">
        <f aca="false">B$5*(1+A_pore*B$6*($A51/100))/(1-B$6*(1+((1-phimax_pore)/phimax_pore^2)*($A51/100))*($A51/100))</f>
        <v>1.79310380093381</v>
      </c>
      <c r="C51" s="9" t="n">
        <f aca="false">C$5*(1+A_pore*C$6*($A51/100))/(1-C$6*(1+((1-phimax_pore)/phimax_pore^2)*($A51/100))*($A51/100))</f>
        <v>1.79741601573164</v>
      </c>
      <c r="D51" s="9" t="n">
        <f aca="false">D$5*(1+A_pore*D$6*($A51/100))/(1-D$6*(1+((1-phimax_pore)/phimax_pore^2)*($A51/100))*($A51/100))</f>
        <v>1.80180651613323</v>
      </c>
      <c r="E51" s="9" t="n">
        <f aca="false">E$5*(1+A_pore*E$6*($A51/100))/(1-E$6*(1+((1-phimax_pore)/phimax_pore^2)*($A51/100))*($A51/100))</f>
        <v>1.80627761463597</v>
      </c>
      <c r="F51" s="9" t="n">
        <f aca="false">F$5*(1+A_pore*F$6*($A51/100))/(1-F$6*(1+((1-phimax_pore)/phimax_pore^2)*($A51/100))*($A51/100))</f>
        <v>1.81083172149868</v>
      </c>
      <c r="G51" s="9" t="n">
        <f aca="false">G$5*(1+A_pore*G$6*($A51/100))/(1-G$6*(1+((1-phimax_pore)/phimax_pore^2)*($A51/100))*($A51/100))</f>
        <v>1.81547135020714</v>
      </c>
      <c r="H51" s="9" t="n">
        <f aca="false">H$5*(1+A_pore*H$6*($A51/100))/(1-H$6*(1+((1-phimax_pore)/phimax_pore^2)*($A51/100))*($A51/100))</f>
        <v>1.82019912332217</v>
      </c>
      <c r="I51" s="9" t="n">
        <f aca="false">I$5*(1+A_pore*I$6*($A51/100))/(1-I$6*(1+((1-phimax_pore)/phimax_pore^2)*($A51/100))*($A51/100))</f>
        <v>1.82501777874264</v>
      </c>
      <c r="J51" s="9" t="n">
        <f aca="false">J$5*(1+A_pore*J$6*($A51/100))/(1-J$6*(1+((1-phimax_pore)/phimax_pore^2)*($A51/100))*($A51/100))</f>
        <v>1.82993017641884</v>
      </c>
      <c r="K51" s="9" t="n">
        <f aca="false">K$5*(1+A_pore*K$6*($A51/100))/(1-K$6*(1+((1-phimax_pore)/phimax_pore^2)*($A51/100))*($A51/100))</f>
        <v>1.83493930555518</v>
      </c>
      <c r="L51" s="9" t="n">
        <f aca="false">L$5*(1+A_pore*L$6*($A51/100))/(1-L$6*(1+((1-phimax_pore)/phimax_pore^2)*($A51/100))*($A51/100))</f>
        <v>1.84004829234515</v>
      </c>
      <c r="M51" s="9" t="n">
        <f aca="false">M$5*(1+A_pore*M$6*($A51/100))/(1-M$6*(1+((1-phimax_pore)/phimax_pore^2)*($A51/100))*($A51/100))</f>
        <v>1.84526040828604</v>
      </c>
      <c r="N51" s="9" t="n">
        <f aca="false">N$5*(1+A_pore*N$6*($A51/100))/(1-N$6*(1+((1-phimax_pore)/phimax_pore^2)*($A51/100))*($A51/100))</f>
        <v>1.85057907912553</v>
      </c>
      <c r="O51" s="9" t="n">
        <f aca="false">O$5*(1+A_pore*O$6*($A51/100))/(1-O$6*(1+((1-phimax_pore)/phimax_pore^2)*($A51/100))*($A51/100))</f>
        <v>1.85600789449824</v>
      </c>
      <c r="P51" s="9" t="n">
        <f aca="false">P$5*(1+A_pore*P$6*($A51/100))/(1-P$6*(1+((1-phimax_pore)/phimax_pore^2)*($A51/100))*($A51/100))</f>
        <v>1.86155061831602</v>
      </c>
      <c r="Q51" s="9" t="n">
        <f aca="false">Q$5*(1+A_pore*Q$6*($A51/100))/(1-Q$6*(1+((1-phimax_pore)/phimax_pore^2)*($A51/100))*($A51/100))</f>
        <v>1.86721119998313</v>
      </c>
      <c r="R51" s="9" t="n">
        <f aca="false">R$5*(1+A_pore*R$6*($A51/100))/(1-R$6*(1+((1-phimax_pore)/phimax_pore^2)*($A51/100))*($A51/100))</f>
        <v>1.87299378651517</v>
      </c>
      <c r="S51" s="9" t="n">
        <f aca="false">S$5*(1+A_pore*S$6*($A51/100))/(1-S$6*(1+((1-phimax_pore)/phimax_pore^2)*($A51/100))*($A51/100))</f>
        <v>1.87890273564922</v>
      </c>
      <c r="T51" s="9" t="n">
        <f aca="false">T$5*(1+A_pore*T$6*($A51/100))/(1-T$6*(1+((1-phimax_pore)/phimax_pore^2)*($A51/100))*($A51/100))</f>
        <v>1.88494263004302</v>
      </c>
      <c r="U51" s="9" t="n">
        <f aca="false">U$5*(1+A_pore*U$6*($A51/100))/(1-U$6*(1+((1-phimax_pore)/phimax_pore^2)*($A51/100))*($A51/100))</f>
        <v>1.89111829267185</v>
      </c>
      <c r="V51" s="9" t="n">
        <f aca="false">V$5*(1+A_pore*V$6*($A51/100))/(1-V$6*(1+((1-phimax_pore)/phimax_pore^2)*($A51/100))*($A51/100))</f>
        <v>1.89743480354487</v>
      </c>
      <c r="W51" s="9" t="n">
        <f aca="false">W$5*(1+A_pore*W$6*($A51/100))/(1-W$6*(1+((1-phimax_pore)/phimax_pore^2)*($A51/100))*($A51/100))</f>
        <v>1.90389751787673</v>
      </c>
      <c r="X51" s="9" t="n">
        <f aca="false">X$5*(1+A_pore*X$6*($A51/100))/(1-X$6*(1+((1-phimax_pore)/phimax_pore^2)*($A51/100))*($A51/100))</f>
        <v>1.91051208586723</v>
      </c>
      <c r="Y51" s="9" t="n">
        <f aca="false">Y$5*(1+A_pore*Y$6*($A51/100))/(1-Y$6*(1+((1-phimax_pore)/phimax_pore^2)*($A51/100))*($A51/100))</f>
        <v>1.91728447425984</v>
      </c>
      <c r="Z51" s="9" t="n">
        <f aca="false">Z$5*(1+A_pore*Z$6*($A51/100))/(1-Z$6*(1+((1-phimax_pore)/phimax_pore^2)*($A51/100))*($A51/100))</f>
        <v>1.92422098987184</v>
      </c>
      <c r="AA51" s="9" t="n">
        <f aca="false">AA$5*(1+A_pore*AA$6*($A51/100))/(1-AA$6*(1+((1-phimax_pore)/phimax_pore^2)*($A51/100))*($A51/100))</f>
        <v>1.93132830531285</v>
      </c>
      <c r="AB51" s="9" t="n">
        <f aca="false">AB$5*(1+A_pore*AB$6*($A51/100))/(1-AB$6*(1+((1-phimax_pore)/phimax_pore^2)*($A51/100))*($A51/100))</f>
        <v>1.93861348713648</v>
      </c>
      <c r="AC51" s="9" t="n">
        <f aca="false">AC$5*(1+A_pore*AC$6*($A51/100))/(1-AC$6*(1+((1-phimax_pore)/phimax_pore^2)*($A51/100))*($A51/100))</f>
        <v>1.94608402670212</v>
      </c>
      <c r="AD51" s="9" t="n">
        <f aca="false">AD$5*(1+A_pore*AD$6*($A51/100))/(1-AD$6*(1+((1-phimax_pore)/phimax_pore^2)*($A51/100))*($A51/100))</f>
        <v>1.95374787406049</v>
      </c>
      <c r="AE51" s="9" t="n">
        <f aca="false">AE$5*(1+A_pore*AE$6*($A51/100))/(1-AE$6*(1+((1-phimax_pore)/phimax_pore^2)*($A51/100))*($A51/100))</f>
        <v>1.96161347521921</v>
      </c>
      <c r="AF51" s="9" t="n">
        <f aca="false">AF$5*(1+A_pore*AF$6*($A51/100))/(1-AF$6*(1+((1-phimax_pore)/phimax_pore^2)*($A51/100))*($A51/100))</f>
        <v>1.96968981319401</v>
      </c>
      <c r="AG51" s="9" t="n">
        <f aca="false">AG$5*(1+A_pore*AG$6*($A51/100))/(1-AG$6*(1+((1-phimax_pore)/phimax_pore^2)*($A51/100))*($A51/100))</f>
        <v>1.97798645330761</v>
      </c>
      <c r="AH51" s="9" t="n">
        <f aca="false">AH$5*(1+A_pore*AH$6*($A51/100))/(1-AH$6*(1+((1-phimax_pore)/phimax_pore^2)*($A51/100))*($A51/100))</f>
        <v>1.9865135932651</v>
      </c>
      <c r="AI51" s="9" t="n">
        <f aca="false">AI$5*(1+A_pore*AI$6*($A51/100))/(1-AI$6*(1+((1-phimax_pore)/phimax_pore^2)*($A51/100))*($A51/100))</f>
        <v>1.99528211861105</v>
      </c>
      <c r="AJ51" s="9" t="n">
        <f aca="false">AJ$5*(1+A_pore*AJ$6*($A51/100))/(1-AJ$6*(1+((1-phimax_pore)/phimax_pore^2)*($A51/100))*($A51/100))</f>
        <v>2.00430366426397</v>
      </c>
      <c r="AK51" s="9" t="n">
        <f aca="false">AK$5*(1+A_pore*AK$6*($A51/100))/(1-AK$6*(1+((1-phimax_pore)/phimax_pore^2)*($A51/100))*($A51/100))</f>
        <v>2.01359068292854</v>
      </c>
    </row>
    <row r="52" customFormat="false" ht="15" hidden="false" customHeight="false" outlineLevel="0" collapsed="false">
      <c r="A52" s="4" t="n">
        <v>43</v>
      </c>
      <c r="B52" s="9" t="n">
        <f aca="false">B$5*(1+A_pore*B$6*($A52/100))/(1-B$6*(1+((1-phimax_pore)/phimax_pore^2)*($A52/100))*($A52/100))</f>
        <v>1.77097556251022</v>
      </c>
      <c r="C52" s="9" t="n">
        <f aca="false">C$5*(1+A_pore*C$6*($A52/100))/(1-C$6*(1+((1-phimax_pore)/phimax_pore^2)*($A52/100))*($A52/100))</f>
        <v>1.77513406413812</v>
      </c>
      <c r="D52" s="9" t="n">
        <f aca="false">D$5*(1+A_pore*D$6*($A52/100))/(1-D$6*(1+((1-phimax_pore)/phimax_pore^2)*($A52/100))*($A52/100))</f>
        <v>1.77936784754867</v>
      </c>
      <c r="E52" s="9" t="n">
        <f aca="false">E$5*(1+A_pore*E$6*($A52/100))/(1-E$6*(1+((1-phimax_pore)/phimax_pore^2)*($A52/100))*($A52/100))</f>
        <v>1.78367913377519</v>
      </c>
      <c r="F52" s="9" t="n">
        <f aca="false">F$5*(1+A_pore*F$6*($A52/100))/(1-F$6*(1+((1-phimax_pore)/phimax_pore^2)*($A52/100))*($A52/100))</f>
        <v>1.7880702377358</v>
      </c>
      <c r="G52" s="9" t="n">
        <f aca="false">G$5*(1+A_pore*G$6*($A52/100))/(1-G$6*(1+((1-phimax_pore)/phimax_pore^2)*($A52/100))*($A52/100))</f>
        <v>1.7925435734846</v>
      </c>
      <c r="H52" s="9" t="n">
        <f aca="false">H$5*(1+A_pore*H$6*($A52/100))/(1-H$6*(1+((1-phimax_pore)/phimax_pore^2)*($A52/100))*($A52/100))</f>
        <v>1.79710165983073</v>
      </c>
      <c r="I52" s="9" t="n">
        <f aca="false">I$5*(1+A_pore*I$6*($A52/100))/(1-I$6*(1+((1-phimax_pore)/phimax_pore^2)*($A52/100))*($A52/100))</f>
        <v>1.80174712635634</v>
      </c>
      <c r="J52" s="9" t="n">
        <f aca="false">J$5*(1+A_pore*J$6*($A52/100))/(1-J$6*(1+((1-phimax_pore)/phimax_pore^2)*($A52/100))*($A52/100))</f>
        <v>1.80648271986751</v>
      </c>
      <c r="K52" s="9" t="n">
        <f aca="false">K$5*(1+A_pore*K$6*($A52/100))/(1-K$6*(1+((1-phimax_pore)/phimax_pore^2)*($A52/100))*($A52/100))</f>
        <v>1.81131131131573</v>
      </c>
      <c r="L52" s="9" t="n">
        <f aca="false">L$5*(1+A_pore*L$6*($A52/100))/(1-L$6*(1+((1-phimax_pore)/phimax_pore^2)*($A52/100))*($A52/100))</f>
        <v>1.81623590323123</v>
      </c>
      <c r="M52" s="9" t="n">
        <f aca="false">M$5*(1+A_pore*M$6*($A52/100))/(1-M$6*(1+((1-phimax_pore)/phimax_pore^2)*($A52/100))*($A52/100))</f>
        <v>1.82125963771371</v>
      </c>
      <c r="N52" s="9" t="n">
        <f aca="false">N$5*(1+A_pore*N$6*($A52/100))/(1-N$6*(1+((1-phimax_pore)/phimax_pore^2)*($A52/100))*($A52/100))</f>
        <v>1.82638580503085</v>
      </c>
      <c r="O52" s="9" t="n">
        <f aca="false">O$5*(1+A_pore*O$6*($A52/100))/(1-O$6*(1+((1-phimax_pore)/phimax_pore^2)*($A52/100))*($A52/100))</f>
        <v>1.83161785288022</v>
      </c>
      <c r="P52" s="9" t="n">
        <f aca="false">P$5*(1+A_pore*P$6*($A52/100))/(1-P$6*(1+((1-phimax_pore)/phimax_pore^2)*($A52/100))*($A52/100))</f>
        <v>1.8369593963762</v>
      </c>
      <c r="Q52" s="9" t="n">
        <f aca="false">Q$5*(1+A_pore*Q$6*($A52/100))/(1-Q$6*(1+((1-phimax_pore)/phimax_pore^2)*($A52/100))*($A52/100))</f>
        <v>1.84241422883031</v>
      </c>
      <c r="R52" s="9" t="n">
        <f aca="false">R$5*(1+A_pore*R$6*($A52/100))/(1-R$6*(1+((1-phimax_pore)/phimax_pore^2)*($A52/100))*($A52/100))</f>
        <v>1.84798633340065</v>
      </c>
      <c r="S52" s="9" t="n">
        <f aca="false">S$5*(1+A_pore*S$6*($A52/100))/(1-S$6*(1+((1-phimax_pore)/phimax_pore^2)*($A52/100))*($A52/100))</f>
        <v>1.853679895695</v>
      </c>
      <c r="T52" s="9" t="n">
        <f aca="false">T$5*(1+A_pore*T$6*($A52/100))/(1-T$6*(1+((1-phimax_pore)/phimax_pore^2)*($A52/100))*($A52/100))</f>
        <v>1.85949931742129</v>
      </c>
      <c r="U52" s="9" t="n">
        <f aca="false">U$5*(1+A_pore*U$6*($A52/100))/(1-U$6*(1+((1-phimax_pore)/phimax_pore^2)*($A52/100))*($A52/100))</f>
        <v>1.86544923119041</v>
      </c>
      <c r="V52" s="9" t="n">
        <f aca="false">V$5*(1+A_pore*V$6*($A52/100))/(1-V$6*(1+((1-phimax_pore)/phimax_pore^2)*($A52/100))*($A52/100))</f>
        <v>1.87153451658823</v>
      </c>
      <c r="W52" s="9" t="n">
        <f aca="false">W$5*(1+A_pore*W$6*($A52/100))/(1-W$6*(1+((1-phimax_pore)/phimax_pore^2)*($A52/100))*($A52/100))</f>
        <v>1.87776031764785</v>
      </c>
      <c r="X52" s="9" t="n">
        <f aca="false">X$5*(1+A_pore*X$6*($A52/100))/(1-X$6*(1+((1-phimax_pore)/phimax_pore^2)*($A52/100))*($A52/100))</f>
        <v>1.88413206186882</v>
      </c>
      <c r="Y52" s="9" t="n">
        <f aca="false">Y$5*(1+A_pore*Y$6*($A52/100))/(1-Y$6*(1+((1-phimax_pore)/phimax_pore^2)*($A52/100))*($A52/100))</f>
        <v>1.89065548094804</v>
      </c>
      <c r="Z52" s="9" t="n">
        <f aca="false">Z$5*(1+A_pore*Z$6*($A52/100))/(1-Z$6*(1+((1-phimax_pore)/phimax_pore^2)*($A52/100))*($A52/100))</f>
        <v>1.89733663340768</v>
      </c>
      <c r="AA52" s="9" t="n">
        <f aca="false">AA$5*(1+A_pore*AA$6*($A52/100))/(1-AA$6*(1+((1-phimax_pore)/phimax_pore^2)*($A52/100))*($A52/100))</f>
        <v>1.9041819293289</v>
      </c>
      <c r="AB52" s="9" t="n">
        <f aca="false">AB$5*(1+A_pore*AB$6*($A52/100))/(1-AB$6*(1+((1-phimax_pore)/phimax_pore^2)*($A52/100))*($A52/100))</f>
        <v>1.911198157427</v>
      </c>
      <c r="AC52" s="9" t="n">
        <f aca="false">AC$5*(1+A_pore*AC$6*($A52/100))/(1-AC$6*(1+((1-phimax_pore)/phimax_pore^2)*($A52/100))*($A52/100))</f>
        <v>1.91839251473448</v>
      </c>
      <c r="AD52" s="9" t="n">
        <f aca="false">AD$5*(1+A_pore*AD$6*($A52/100))/(1-AD$6*(1+((1-phimax_pore)/phimax_pore^2)*($A52/100))*($A52/100))</f>
        <v>1.92577263919429</v>
      </c>
      <c r="AE52" s="9" t="n">
        <f aca="false">AE$5*(1+A_pore*AE$6*($A52/100))/(1-AE$6*(1+((1-phimax_pore)/phimax_pore^2)*($A52/100))*($A52/100))</f>
        <v>1.93334664550597</v>
      </c>
      <c r="AF52" s="9" t="n">
        <f aca="false">AF$5*(1+A_pore*AF$6*($A52/100))/(1-AF$6*(1+((1-phimax_pore)/phimax_pore^2)*($A52/100))*($A52/100))</f>
        <v>1.94112316461528</v>
      </c>
      <c r="AG52" s="9" t="n">
        <f aca="false">AG$5*(1+A_pore*AG$6*($A52/100))/(1-AG$6*(1+((1-phimax_pore)/phimax_pore^2)*($A52/100))*($A52/100))</f>
        <v>1.94911138729235</v>
      </c>
      <c r="AH52" s="9" t="n">
        <f aca="false">AH$5*(1+A_pore*AH$6*($A52/100))/(1-AH$6*(1+((1-phimax_pore)/phimax_pore^2)*($A52/100))*($A52/100))</f>
        <v>1.95732111230732</v>
      </c>
      <c r="AI52" s="9" t="n">
        <f aca="false">AI$5*(1+A_pore*AI$6*($A52/100))/(1-AI$6*(1+((1-phimax_pore)/phimax_pore^2)*($A52/100))*($A52/100))</f>
        <v>1.96576279978638</v>
      </c>
      <c r="AJ52" s="9" t="n">
        <f aca="false">AJ$5*(1+A_pore*AJ$6*($A52/100))/(1-AJ$6*(1+((1-phimax_pore)/phimax_pore^2)*($A52/100))*($A52/100))</f>
        <v>1.97444763041797</v>
      </c>
      <c r="AK52" s="9" t="n">
        <f aca="false">AK$5*(1+A_pore*AK$6*($A52/100))/(1-AK$6*(1+((1-phimax_pore)/phimax_pore^2)*($A52/100))*($A52/100))</f>
        <v>1.98338757127997</v>
      </c>
    </row>
    <row r="53" customFormat="false" ht="15" hidden="false" customHeight="false" outlineLevel="0" collapsed="false">
      <c r="A53" s="4" t="n">
        <v>44</v>
      </c>
      <c r="B53" s="9" t="n">
        <f aca="false">B$5*(1+A_pore*B$6*($A53/100))/(1-B$6*(1+((1-phimax_pore)/phimax_pore^2)*($A53/100))*($A53/100))</f>
        <v>1.74931152293198</v>
      </c>
      <c r="C53" s="9" t="n">
        <f aca="false">C$5*(1+A_pore*C$6*($A53/100))/(1-C$6*(1+((1-phimax_pore)/phimax_pore^2)*($A53/100))*($A53/100))</f>
        <v>1.75332140761316</v>
      </c>
      <c r="D53" s="9" t="n">
        <f aca="false">D$5*(1+A_pore*D$6*($A53/100))/(1-D$6*(1+((1-phimax_pore)/phimax_pore^2)*($A53/100))*($A53/100))</f>
        <v>1.75740368487297</v>
      </c>
      <c r="E53" s="9" t="n">
        <f aca="false">E$5*(1+A_pore*E$6*($A53/100))/(1-E$6*(1+((1-phimax_pore)/phimax_pore^2)*($A53/100))*($A53/100))</f>
        <v>1.76156048803735</v>
      </c>
      <c r="F53" s="9" t="n">
        <f aca="false">F$5*(1+A_pore*F$6*($A53/100))/(1-F$6*(1+((1-phimax_pore)/phimax_pore^2)*($A53/100))*($A53/100))</f>
        <v>1.76579404060456</v>
      </c>
      <c r="G53" s="9" t="n">
        <f aca="false">G$5*(1+A_pore*G$6*($A53/100))/(1-G$6*(1+((1-phimax_pore)/phimax_pore^2)*($A53/100))*($A53/100))</f>
        <v>1.77010666129121</v>
      </c>
      <c r="H53" s="9" t="n">
        <f aca="false">H$5*(1+A_pore*H$6*($A53/100))/(1-H$6*(1+((1-phimax_pore)/phimax_pore^2)*($A53/100))*($A53/100))</f>
        <v>1.77450076943196</v>
      </c>
      <c r="I53" s="9" t="n">
        <f aca="false">I$5*(1+A_pore*I$6*($A53/100))/(1-I$6*(1+((1-phimax_pore)/phimax_pore^2)*($A53/100))*($A53/100))</f>
        <v>1.77897889076286</v>
      </c>
      <c r="J53" s="9" t="n">
        <f aca="false">J$5*(1+A_pore*J$6*($A53/100))/(1-J$6*(1+((1-phimax_pore)/phimax_pore^2)*($A53/100))*($A53/100))</f>
        <v>1.78354366362103</v>
      </c>
      <c r="K53" s="9" t="n">
        <f aca="false">K$5*(1+A_pore*K$6*($A53/100))/(1-K$6*(1+((1-phimax_pore)/phimax_pore^2)*($A53/100))*($A53/100))</f>
        <v>1.78819784559676</v>
      </c>
      <c r="L53" s="9" t="n">
        <f aca="false">L$5*(1+A_pore*L$6*($A53/100))/(1-L$6*(1+((1-phimax_pore)/phimax_pore^2)*($A53/100))*($A53/100))</f>
        <v>1.79294432067804</v>
      </c>
      <c r="M53" s="9" t="n">
        <f aca="false">M$5*(1+A_pore*M$6*($A53/100))/(1-M$6*(1+((1-phimax_pore)/phimax_pore^2)*($A53/100))*($A53/100))</f>
        <v>1.79778610693098</v>
      </c>
      <c r="N53" s="9" t="n">
        <f aca="false">N$5*(1+A_pore*N$6*($A53/100))/(1-N$6*(1+((1-phimax_pore)/phimax_pore^2)*($A53/100))*($A53/100))</f>
        <v>1.80272636476497</v>
      </c>
      <c r="O53" s="9" t="n">
        <f aca="false">O$5*(1+A_pore*O$6*($A53/100))/(1-O$6*(1+((1-phimax_pore)/phimax_pore^2)*($A53/100))*($A53/100))</f>
        <v>1.80776840583579</v>
      </c>
      <c r="P53" s="9" t="n">
        <f aca="false">P$5*(1+A_pore*P$6*($A53/100))/(1-P$6*(1+((1-phimax_pore)/phimax_pore^2)*($A53/100))*($A53/100))</f>
        <v>1.8129157026462</v>
      </c>
      <c r="Q53" s="9" t="n">
        <f aca="false">Q$5*(1+A_pore*Q$6*($A53/100))/(1-Q$6*(1+((1-phimax_pore)/phimax_pore^2)*($A53/100))*($A53/100))</f>
        <v>1.81817189890965</v>
      </c>
      <c r="R53" s="9" t="n">
        <f aca="false">R$5*(1+A_pore*R$6*($A53/100))/(1-R$6*(1+((1-phimax_pore)/phimax_pore^2)*($A53/100))*($A53/100))</f>
        <v>1.82354082075016</v>
      </c>
      <c r="S53" s="9" t="n">
        <f aca="false">S$5*(1+A_pore*S$6*($A53/100))/(1-S$6*(1+((1-phimax_pore)/phimax_pore^2)*($A53/100))*($A53/100))</f>
        <v>1.82902648881954</v>
      </c>
      <c r="T53" s="9" t="n">
        <f aca="false">T$5*(1+A_pore*T$6*($A53/100))/(1-T$6*(1+((1-phimax_pore)/phimax_pore^2)*($A53/100))*($A53/100))</f>
        <v>1.83463313142231</v>
      </c>
      <c r="U53" s="9" t="n">
        <f aca="false">U$5*(1+A_pore*U$6*($A53/100))/(1-U$6*(1+((1-phimax_pore)/phimax_pore^2)*($A53/100))*($A53/100))</f>
        <v>1.84036519874932</v>
      </c>
      <c r="V53" s="9" t="n">
        <f aca="false">V$5*(1+A_pore*V$6*($A53/100))/(1-V$6*(1+((1-phimax_pore)/phimax_pore^2)*($A53/100))*($A53/100))</f>
        <v>1.84622737833247</v>
      </c>
      <c r="W53" s="9" t="n">
        <f aca="false">W$5*(1+A_pore*W$6*($A53/100))/(1-W$6*(1+((1-phimax_pore)/phimax_pore^2)*($A53/100))*($A53/100))</f>
        <v>1.8522246118468</v>
      </c>
      <c r="X53" s="9" t="n">
        <f aca="false">X$5*(1+A_pore*X$6*($A53/100))/(1-X$6*(1+((1-phimax_pore)/phimax_pore^2)*($A53/100))*($A53/100))</f>
        <v>1.85836211340112</v>
      </c>
      <c r="Y53" s="9" t="n">
        <f aca="false">Y$5*(1+A_pore*Y$6*($A53/100))/(1-Y$6*(1+((1-phimax_pore)/phimax_pore^2)*($A53/100))*($A53/100))</f>
        <v>1.86464538947575</v>
      </c>
      <c r="Z53" s="9" t="n">
        <f aca="false">Z$5*(1+A_pore*Z$6*($A53/100))/(1-Z$6*(1+((1-phimax_pore)/phimax_pore^2)*($A53/100))*($A53/100))</f>
        <v>1.87108026068585</v>
      </c>
      <c r="AA53" s="9" t="n">
        <f aca="false">AA$5*(1+A_pore*AA$6*($A53/100))/(1-AA$6*(1+((1-phimax_pore)/phimax_pore^2)*($A53/100))*($A53/100))</f>
        <v>1.87767288557128</v>
      </c>
      <c r="AB53" s="9" t="n">
        <f aca="false">AB$5*(1+A_pore*AB$6*($A53/100))/(1-AB$6*(1+((1-phimax_pore)/phimax_pore^2)*($A53/100))*($A53/100))</f>
        <v>1.88442978663991</v>
      </c>
      <c r="AC53" s="9" t="n">
        <f aca="false">AC$5*(1+A_pore*AC$6*($A53/100))/(1-AC$6*(1+((1-phimax_pore)/phimax_pore^2)*($A53/100))*($A53/100))</f>
        <v>1.8913578789209</v>
      </c>
      <c r="AD53" s="9" t="n">
        <f aca="false">AD$5*(1+A_pore*AD$6*($A53/100))/(1-AD$6*(1+((1-phimax_pore)/phimax_pore^2)*($A53/100))*($A53/100))</f>
        <v>1.89846450131908</v>
      </c>
      <c r="AE53" s="9" t="n">
        <f aca="false">AE$5*(1+A_pore*AE$6*($A53/100))/(1-AE$6*(1+((1-phimax_pore)/phimax_pore^2)*($A53/100))*($A53/100))</f>
        <v>1.90575745110028</v>
      </c>
      <c r="AF53" s="9" t="n">
        <f aca="false">AF$5*(1+A_pore*AF$6*($A53/100))/(1-AF$6*(1+((1-phimax_pore)/phimax_pore^2)*($A53/100))*($A53/100))</f>
        <v>1.91324502188388</v>
      </c>
      <c r="AG53" s="9" t="n">
        <f aca="false">AG$5*(1+A_pore*AG$6*($A53/100))/(1-AG$6*(1+((1-phimax_pore)/phimax_pore^2)*($A53/100))*($A53/100))</f>
        <v>1.92093604557103</v>
      </c>
      <c r="AH53" s="9" t="n">
        <f aca="false">AH$5*(1+A_pore*AH$6*($A53/100))/(1-AH$6*(1+((1-phimax_pore)/phimax_pore^2)*($A53/100))*($A53/100))</f>
        <v>1.9288399386986</v>
      </c>
      <c r="AI53" s="9" t="n">
        <f aca="false">AI$5*(1+A_pore*AI$6*($A53/100))/(1-AI$6*(1+((1-phimax_pore)/phimax_pore^2)*($A53/100))*($A53/100))</f>
        <v>1.93696675378041</v>
      </c>
      <c r="AJ53" s="9" t="n">
        <f aca="false">AJ$5*(1+A_pore*AJ$6*($A53/100))/(1-AJ$6*(1+((1-phimax_pore)/phimax_pore^2)*($A53/100))*($A53/100))</f>
        <v>1.94532723628044</v>
      </c>
      <c r="AK53" s="9" t="n">
        <f aca="false">AK$5*(1+A_pore*AK$6*($A53/100))/(1-AK$6*(1+((1-phimax_pore)/phimax_pore^2)*($A53/100))*($A53/100))</f>
        <v>1.95393288796074</v>
      </c>
    </row>
    <row r="54" customFormat="false" ht="15" hidden="false" customHeight="false" outlineLevel="0" collapsed="false">
      <c r="A54" s="4" t="n">
        <v>45</v>
      </c>
      <c r="B54" s="9" t="n">
        <f aca="false">B$5*(1+A_pore*B$6*($A54/100))/(1-B$6*(1+((1-phimax_pore)/phimax_pore^2)*($A54/100))*($A54/100))</f>
        <v>1.72809724651099</v>
      </c>
      <c r="C54" s="9" t="n">
        <f aca="false">C$5*(1+A_pore*C$6*($A54/100))/(1-C$6*(1+((1-phimax_pore)/phimax_pore^2)*($A54/100))*($A54/100))</f>
        <v>1.73196339413285</v>
      </c>
      <c r="D54" s="9" t="n">
        <f aca="false">D$5*(1+A_pore*D$6*($A54/100))/(1-D$6*(1+((1-phimax_pore)/phimax_pore^2)*($A54/100))*($A54/100))</f>
        <v>1.73589915411831</v>
      </c>
      <c r="E54" s="9" t="n">
        <f aca="false">E$5*(1+A_pore*E$6*($A54/100))/(1-E$6*(1+((1-phimax_pore)/phimax_pore^2)*($A54/100))*($A54/100))</f>
        <v>1.73990657563984</v>
      </c>
      <c r="F54" s="9" t="n">
        <f aca="false">F$5*(1+A_pore*F$6*($A54/100))/(1-F$6*(1+((1-phimax_pore)/phimax_pore^2)*($A54/100))*($A54/100))</f>
        <v>1.74398779448454</v>
      </c>
      <c r="G54" s="9" t="n">
        <f aca="false">G$5*(1+A_pore*G$6*($A54/100))/(1-G$6*(1+((1-phimax_pore)/phimax_pore^2)*($A54/100))*($A54/100))</f>
        <v>1.74814503790357</v>
      </c>
      <c r="H54" s="9" t="n">
        <f aca="false">H$5*(1+A_pore*H$6*($A54/100))/(1-H$6*(1+((1-phimax_pore)/phimax_pore^2)*($A54/100))*($A54/100))</f>
        <v>1.75238062980169</v>
      </c>
      <c r="I54" s="9" t="n">
        <f aca="false">I$5*(1+A_pore*I$6*($A54/100))/(1-I$6*(1+((1-phimax_pore)/phimax_pore^2)*($A54/100))*($A54/100))</f>
        <v>1.75669699629573</v>
      </c>
      <c r="J54" s="9" t="n">
        <f aca="false">J$5*(1+A_pore*J$6*($A54/100))/(1-J$6*(1+((1-phimax_pore)/phimax_pore^2)*($A54/100))*($A54/100))</f>
        <v>1.76109667167346</v>
      </c>
      <c r="K54" s="9" t="n">
        <f aca="false">K$5*(1+A_pore*K$6*($A54/100))/(1-K$6*(1+((1-phimax_pore)/phimax_pore^2)*($A54/100))*($A54/100))</f>
        <v>1.76558230478765</v>
      </c>
      <c r="L54" s="9" t="n">
        <f aca="false">L$5*(1+A_pore*L$6*($A54/100))/(1-L$6*(1+((1-phimax_pore)/phimax_pore^2)*($A54/100))*($A54/100))</f>
        <v>1.77015666592366</v>
      </c>
      <c r="M54" s="9" t="n">
        <f aca="false">M$5*(1+A_pore*M$6*($A54/100))/(1-M$6*(1+((1-phimax_pore)/phimax_pore^2)*($A54/100))*($A54/100))</f>
        <v>1.77482265418261</v>
      </c>
      <c r="N54" s="9" t="n">
        <f aca="false">N$5*(1+A_pore*N$6*($A54/100))/(1-N$6*(1+((1-phimax_pore)/phimax_pore^2)*($A54/100))*($A54/100))</f>
        <v>1.77958330542688</v>
      </c>
      <c r="O54" s="9" t="n">
        <f aca="false">O$5*(1+A_pore*O$6*($A54/100))/(1-O$6*(1+((1-phimax_pore)/phimax_pore^2)*($A54/100))*($A54/100))</f>
        <v>1.7844418008394</v>
      </c>
      <c r="P54" s="9" t="n">
        <f aca="false">P$5*(1+A_pore*P$6*($A54/100))/(1-P$6*(1+((1-phimax_pore)/phimax_pore^2)*($A54/100))*($A54/100))</f>
        <v>1.78940147615388</v>
      </c>
      <c r="Q54" s="9" t="n">
        <f aca="false">Q$5*(1+A_pore*Q$6*($A54/100))/(1-Q$6*(1+((1-phimax_pore)/phimax_pore^2)*($A54/100))*($A54/100))</f>
        <v>1.79446583161918</v>
      </c>
      <c r="R54" s="9" t="n">
        <f aca="false">R$5*(1+A_pore*R$6*($A54/100))/(1-R$6*(1+((1-phimax_pore)/phimax_pore^2)*($A54/100))*($A54/100))</f>
        <v>1.79963854276814</v>
      </c>
      <c r="S54" s="9" t="n">
        <f aca="false">S$5*(1+A_pore*S$6*($A54/100))/(1-S$6*(1+((1-phimax_pore)/phimax_pore^2)*($A54/100))*($A54/100))</f>
        <v>1.80492347206902</v>
      </c>
      <c r="T54" s="9" t="n">
        <f aca="false">T$5*(1+A_pore*T$6*($A54/100))/(1-T$6*(1+((1-phimax_pore)/phimax_pore^2)*($A54/100))*($A54/100))</f>
        <v>1.81032468154659</v>
      </c>
      <c r="U54" s="9" t="n">
        <f aca="false">U$5*(1+A_pore*U$6*($A54/100))/(1-U$6*(1+((1-phimax_pore)/phimax_pore^2)*($A54/100))*($A54/100))</f>
        <v>1.81584644646987</v>
      </c>
      <c r="V54" s="9" t="n">
        <f aca="false">V$5*(1+A_pore*V$6*($A54/100))/(1-V$6*(1+((1-phimax_pore)/phimax_pore^2)*($A54/100))*($A54/100))</f>
        <v>1.82149327021501</v>
      </c>
      <c r="W54" s="9" t="n">
        <f aca="false">W$5*(1+A_pore*W$6*($A54/100))/(1-W$6*(1+((1-phimax_pore)/phimax_pore^2)*($A54/100))*($A54/100))</f>
        <v>1.82726990042478</v>
      </c>
      <c r="X54" s="9" t="n">
        <f aca="false">X$5*(1+A_pore*X$6*($A54/100))/(1-X$6*(1+((1-phimax_pore)/phimax_pore^2)*($A54/100))*($A54/100))</f>
        <v>1.83318134660033</v>
      </c>
      <c r="Y54" s="9" t="n">
        <f aca="false">Y$5*(1+A_pore*Y$6*($A54/100))/(1-Y$6*(1+((1-phimax_pore)/phimax_pore^2)*($A54/100))*($A54/100))</f>
        <v>1.8392328992784</v>
      </c>
      <c r="Z54" s="9" t="n">
        <f aca="false">Z$5*(1+A_pore*Z$6*($A54/100))/(1-Z$6*(1+((1-phimax_pore)/phimax_pore^2)*($A54/100))*($A54/100))</f>
        <v>1.84543015096528</v>
      </c>
      <c r="AA54" s="9" t="n">
        <f aca="false">AA$5*(1+A_pore*AA$6*($A54/100))/(1-AA$6*(1+((1-phimax_pore)/phimax_pore^2)*($A54/100))*($A54/100))</f>
        <v>1.85177901902138</v>
      </c>
      <c r="AB54" s="9" t="n">
        <f aca="false">AB$5*(1+A_pore*AB$6*($A54/100))/(1-AB$6*(1+((1-phimax_pore)/phimax_pore^2)*($A54/100))*($A54/100))</f>
        <v>1.85828577071467</v>
      </c>
      <c r="AC54" s="9" t="n">
        <f aca="false">AC$5*(1+A_pore*AC$6*($A54/100))/(1-AC$6*(1+((1-phimax_pore)/phimax_pore^2)*($A54/100))*($A54/100))</f>
        <v>1.86495705069023</v>
      </c>
      <c r="AD54" s="9" t="n">
        <f aca="false">AD$5*(1+A_pore*AD$6*($A54/100))/(1-AD$6*(1+((1-phimax_pore)/phimax_pore^2)*($A54/100))*($A54/100))</f>
        <v>1.87179991113593</v>
      </c>
      <c r="AE54" s="9" t="n">
        <f aca="false">AE$5*(1+A_pore*AE$6*($A54/100))/(1-AE$6*(1+((1-phimax_pore)/phimax_pore^2)*($A54/100))*($A54/100))</f>
        <v>1.87882184496219</v>
      </c>
      <c r="AF54" s="9" t="n">
        <f aca="false">AF$5*(1+A_pore*AF$6*($A54/100))/(1-AF$6*(1+((1-phimax_pore)/phimax_pore^2)*($A54/100))*($A54/100))</f>
        <v>1.88603082235799</v>
      </c>
      <c r="AG54" s="9" t="n">
        <f aca="false">AG$5*(1+A_pore*AG$6*($A54/100))/(1-AG$6*(1+((1-phimax_pore)/phimax_pore^2)*($A54/100))*($A54/100))</f>
        <v>1.89343533113572</v>
      </c>
      <c r="AH54" s="9" t="n">
        <f aca="false">AH$5*(1+A_pore*AH$6*($A54/100))/(1-AH$6*(1+((1-phimax_pore)/phimax_pore^2)*($A54/100))*($A54/100))</f>
        <v>1.90104442133698</v>
      </c>
      <c r="AI54" s="9" t="n">
        <f aca="false">AI$5*(1+A_pore*AI$6*($A54/100))/(1-AI$6*(1+((1-phimax_pore)/phimax_pore^2)*($A54/100))*($A54/100))</f>
        <v>1.90886775463991</v>
      </c>
      <c r="AJ54" s="9" t="n">
        <f aca="false">AJ$5*(1+A_pore*AJ$6*($A54/100))/(1-AJ$6*(1+((1-phimax_pore)/phimax_pore^2)*($A54/100))*($A54/100))</f>
        <v>1.91691565918926</v>
      </c>
      <c r="AK54" s="9" t="n">
        <f aca="false">AK$5*(1+A_pore*AK$6*($A54/100))/(1-AK$6*(1+((1-phimax_pore)/phimax_pore^2)*($A54/100))*($A54/100))</f>
        <v>1.92519919056412</v>
      </c>
    </row>
    <row r="55" customFormat="false" ht="15" hidden="false" customHeight="false" outlineLevel="0" collapsed="false">
      <c r="A55" s="4" t="n">
        <v>46</v>
      </c>
      <c r="B55" s="9" t="n">
        <f aca="false">B$5*(1+A_pore*B$6*($A55/100))/(1-B$6*(1+((1-phimax_pore)/phimax_pore^2)*($A55/100))*($A55/100))</f>
        <v>1.70731888997303</v>
      </c>
      <c r="C55" s="9" t="n">
        <f aca="false">C$5*(1+A_pore*C$6*($A55/100))/(1-C$6*(1+((1-phimax_pore)/phimax_pore^2)*($A55/100))*($A55/100))</f>
        <v>1.71104597532428</v>
      </c>
      <c r="D55" s="9" t="n">
        <f aca="false">D$5*(1+A_pore*D$6*($A55/100))/(1-D$6*(1+((1-phimax_pore)/phimax_pore^2)*($A55/100))*($A55/100))</f>
        <v>1.71483999651912</v>
      </c>
      <c r="E55" s="9" t="n">
        <f aca="false">E$5*(1+A_pore*E$6*($A55/100))/(1-E$6*(1+((1-phimax_pore)/phimax_pore^2)*($A55/100))*($A55/100))</f>
        <v>1.71870292194093</v>
      </c>
      <c r="F55" s="9" t="n">
        <f aca="false">F$5*(1+A_pore*F$6*($A55/100))/(1-F$6*(1+((1-phimax_pore)/phimax_pore^2)*($A55/100))*($A55/100))</f>
        <v>1.72263680317609</v>
      </c>
      <c r="G55" s="9" t="n">
        <f aca="false">G$5*(1+A_pore*G$6*($A55/100))/(1-G$6*(1+((1-phimax_pore)/phimax_pore^2)*($A55/100))*($A55/100))</f>
        <v>1.72664377967482</v>
      </c>
      <c r="H55" s="9" t="n">
        <f aca="false">H$5*(1+A_pore*H$6*($A55/100))/(1-H$6*(1+((1-phimax_pore)/phimax_pore^2)*($A55/100))*($A55/100))</f>
        <v>1.73072608373927</v>
      </c>
      <c r="I55" s="9" t="n">
        <f aca="false">I$5*(1+A_pore*I$6*($A55/100))/(1-I$6*(1+((1-phimax_pore)/phimax_pore^2)*($A55/100))*($A55/100))</f>
        <v>1.73488604586625</v>
      </c>
      <c r="J55" s="9" t="n">
        <f aca="false">J$5*(1+A_pore*J$6*($A55/100))/(1-J$6*(1+((1-phimax_pore)/phimax_pore^2)*($A55/100))*($A55/100))</f>
        <v>1.73912610047519</v>
      </c>
      <c r="K55" s="9" t="n">
        <f aca="false">K$5*(1+A_pore*K$6*($A55/100))/(1-K$6*(1+((1-phimax_pore)/phimax_pore^2)*($A55/100))*($A55/100))</f>
        <v>1.74344879205475</v>
      </c>
      <c r="L55" s="9" t="n">
        <f aca="false">L$5*(1+A_pore*L$6*($A55/100))/(1-L$6*(1+((1-phimax_pore)/phimax_pore^2)*($A55/100))*($A55/100))</f>
        <v>1.74785678176473</v>
      </c>
      <c r="M55" s="9" t="n">
        <f aca="false">M$5*(1+A_pore*M$6*($A55/100))/(1-M$6*(1+((1-phimax_pore)/phimax_pore^2)*($A55/100))*($A55/100))</f>
        <v>1.75235285453413</v>
      </c>
      <c r="N55" s="9" t="n">
        <f aca="false">N$5*(1+A_pore*N$6*($A55/100))/(1-N$6*(1+((1-phimax_pore)/phimax_pore^2)*($A55/100))*($A55/100))</f>
        <v>1.75693992670009</v>
      </c>
      <c r="O55" s="9" t="n">
        <f aca="false">O$5*(1+A_pore*O$6*($A55/100))/(1-O$6*(1+((1-phimax_pore)/phimax_pore^2)*($A55/100))*($A55/100))</f>
        <v>1.7616210542373</v>
      </c>
      <c r="P55" s="9" t="n">
        <f aca="false">P$5*(1+A_pore*P$6*($A55/100))/(1-P$6*(1+((1-phimax_pore)/phimax_pore^2)*($A55/100))*($A55/100))</f>
        <v>1.76639944163297</v>
      </c>
      <c r="Q55" s="9" t="n">
        <f aca="false">Q$5*(1+A_pore*Q$6*($A55/100))/(1-Q$6*(1+((1-phimax_pore)/phimax_pore^2)*($A55/100))*($A55/100))</f>
        <v>1.77127845146805</v>
      </c>
      <c r="R55" s="9" t="n">
        <f aca="false">R$5*(1+A_pore*R$6*($A55/100))/(1-R$6*(1+((1-phimax_pore)/phimax_pore^2)*($A55/100))*($A55/100))</f>
        <v>1.77626161477254</v>
      </c>
      <c r="S55" s="9" t="n">
        <f aca="false">S$5*(1+A_pore*S$6*($A55/100))/(1-S$6*(1+((1-phimax_pore)/phimax_pore^2)*($A55/100))*($A55/100))</f>
        <v>1.78135264223006</v>
      </c>
      <c r="T55" s="9" t="n">
        <f aca="false">T$5*(1+A_pore*T$6*($A55/100))/(1-T$6*(1+((1-phimax_pore)/phimax_pore^2)*($A55/100))*($A55/100))</f>
        <v>1.78655543631537</v>
      </c>
      <c r="U55" s="9" t="n">
        <f aca="false">U$5*(1+A_pore*U$6*($A55/100))/(1-U$6*(1+((1-phimax_pore)/phimax_pore^2)*($A55/100))*($A55/100))</f>
        <v>1.79187410445844</v>
      </c>
      <c r="V55" s="9" t="n">
        <f aca="false">V$5*(1+A_pore*V$6*($A55/100))/(1-V$6*(1+((1-phimax_pore)/phimax_pore^2)*($A55/100))*($A55/100))</f>
        <v>1.79731297333935</v>
      </c>
      <c r="W55" s="9" t="n">
        <f aca="false">W$5*(1+A_pore*W$6*($A55/100))/(1-W$6*(1+((1-phimax_pore)/phimax_pore^2)*($A55/100))*($A55/100))</f>
        <v>1.8028766044309</v>
      </c>
      <c r="X55" s="9" t="n">
        <f aca="false">X$5*(1+A_pore*X$6*($A55/100))/(1-X$6*(1+((1-phimax_pore)/phimax_pore^2)*($A55/100))*($A55/100))</f>
        <v>1.80856981091993</v>
      </c>
      <c r="Y55" s="9" t="n">
        <f aca="false">Y$5*(1+A_pore*Y$6*($A55/100))/(1-Y$6*(1+((1-phimax_pore)/phimax_pore^2)*($A55/100))*($A55/100))</f>
        <v>1.81439767615424</v>
      </c>
      <c r="Z55" s="9" t="n">
        <f aca="false">Z$5*(1+A_pore*Z$6*($A55/100))/(1-Z$6*(1+((1-phimax_pore)/phimax_pore^2)*($A55/100))*($A55/100))</f>
        <v>1.82036557378064</v>
      </c>
      <c r="AA55" s="9" t="n">
        <f aca="false">AA$5*(1+A_pore*AA$6*($A55/100))/(1-AA$6*(1+((1-phimax_pore)/phimax_pore^2)*($A55/100))*($A55/100))</f>
        <v>1.82647918976036</v>
      </c>
      <c r="AB55" s="9" t="n">
        <f aca="false">AB$5*(1+A_pore*AB$6*($A55/100))/(1-AB$6*(1+((1-phimax_pore)/phimax_pore^2)*($A55/100))*($A55/100))</f>
        <v>1.8327445464723</v>
      </c>
      <c r="AC55" s="9" t="n">
        <f aca="false">AC$5*(1+A_pore*AC$6*($A55/100))/(1-AC$6*(1+((1-phimax_pore)/phimax_pore^2)*($A55/100))*($A55/100))</f>
        <v>1.83916802914197</v>
      </c>
      <c r="AD55" s="9" t="n">
        <f aca="false">AD$5*(1+A_pore*AD$6*($A55/100))/(1-AD$6*(1+((1-phimax_pore)/phimax_pore^2)*($A55/100))*($A55/100))</f>
        <v>1.84575641486589</v>
      </c>
      <c r="AE55" s="9" t="n">
        <f aca="false">AE$5*(1+A_pore*AE$6*($A55/100))/(1-AE$6*(1+((1-phimax_pore)/phimax_pore^2)*($A55/100))*($A55/100))</f>
        <v>1.8525169045377</v>
      </c>
      <c r="AF55" s="9" t="n">
        <f aca="false">AF$5*(1+A_pore*AF$6*($A55/100))/(1-AF$6*(1+((1-phimax_pore)/phimax_pore^2)*($A55/100))*($A55/100))</f>
        <v>1.85945715802453</v>
      </c>
      <c r="AG55" s="9" t="n">
        <f aca="false">AG$5*(1+A_pore*AG$6*($A55/100))/(1-AG$6*(1+((1-phimax_pore)/phimax_pore^2)*($A55/100))*($A55/100))</f>
        <v>1.86658533299135</v>
      </c>
      <c r="AH55" s="9" t="n">
        <f aca="false">AH$5*(1+A_pore*AH$6*($A55/100))/(1-AH$6*(1+((1-phimax_pore)/phimax_pore^2)*($A55/100))*($A55/100))</f>
        <v>1.87391012782761</v>
      </c>
      <c r="AI55" s="9" t="n">
        <f aca="false">AI$5*(1+A_pore*AI$6*($A55/100))/(1-AI$6*(1+((1-phimax_pore)/phimax_pore^2)*($A55/100))*($A55/100))</f>
        <v>1.88144082919709</v>
      </c>
      <c r="AJ55" s="9" t="n">
        <f aca="false">AJ$5*(1+A_pore*AJ$6*($A55/100))/(1-AJ$6*(1+((1-phimax_pore)/phimax_pore^2)*($A55/100))*($A55/100))</f>
        <v>1.88918736480912</v>
      </c>
      <c r="AK55" s="9" t="n">
        <f aca="false">AK$5*(1+A_pore*AK$6*($A55/100))/(1-AK$6*(1+((1-phimax_pore)/phimax_pore^2)*($A55/100))*($A55/100))</f>
        <v>1.89716036209983</v>
      </c>
    </row>
    <row r="56" customFormat="false" ht="15" hidden="false" customHeight="false" outlineLevel="0" collapsed="false">
      <c r="A56" s="4" t="n">
        <v>47</v>
      </c>
      <c r="B56" s="9" t="n">
        <f aca="false">B$5*(1+A_pore*B$6*($A56/100))/(1-B$6*(1+((1-phimax_pore)/phimax_pore^2)*($A56/100))*($A56/100))</f>
        <v>1.68696317237696</v>
      </c>
      <c r="C56" s="9" t="n">
        <f aca="false">C$5*(1+A_pore*C$6*($A56/100))/(1-C$6*(1+((1-phimax_pore)/phimax_pore^2)*($A56/100))*($A56/100))</f>
        <v>1.6905556756951</v>
      </c>
      <c r="D56" s="9" t="n">
        <f aca="false">D$5*(1+A_pore*D$6*($A56/100))/(1-D$6*(1+((1-phimax_pore)/phimax_pore^2)*($A56/100))*($A56/100))</f>
        <v>1.69421253704888</v>
      </c>
      <c r="E56" s="9" t="n">
        <f aca="false">E$5*(1+A_pore*E$6*($A56/100))/(1-E$6*(1+((1-phimax_pore)/phimax_pore^2)*($A56/100))*($A56/100))</f>
        <v>1.6979356472197</v>
      </c>
      <c r="F56" s="9" t="n">
        <f aca="false">F$5*(1+A_pore*F$6*($A56/100))/(1-F$6*(1+((1-phimax_pore)/phimax_pore^2)*($A56/100))*($A56/100))</f>
        <v>1.70172697691818</v>
      </c>
      <c r="G56" s="9" t="n">
        <f aca="false">G$5*(1+A_pore*G$6*($A56/100))/(1-G$6*(1+((1-phimax_pore)/phimax_pore^2)*($A56/100))*($A56/100))</f>
        <v>1.70558858126415</v>
      </c>
      <c r="H56" s="9" t="n">
        <f aca="false">H$5*(1+A_pore*H$6*($A56/100))/(1-H$6*(1+((1-phimax_pore)/phimax_pore^2)*($A56/100))*($A56/100))</f>
        <v>1.70952260458123</v>
      </c>
      <c r="I56" s="9" t="n">
        <f aca="false">I$5*(1+A_pore*I$6*($A56/100))/(1-I$6*(1+((1-phimax_pore)/phimax_pore^2)*($A56/100))*($A56/100))</f>
        <v>1.71353128553264</v>
      </c>
      <c r="J56" s="9" t="n">
        <f aca="false">J$5*(1+A_pore*J$6*($A56/100))/(1-J$6*(1+((1-phimax_pore)/phimax_pore^2)*($A56/100))*($A56/100))</f>
        <v>1.71761696262756</v>
      </c>
      <c r="K56" s="9" t="n">
        <f aca="false">K$5*(1+A_pore*K$6*($A56/100))/(1-K$6*(1+((1-phimax_pore)/phimax_pore^2)*($A56/100))*($A56/100))</f>
        <v>1.72178208013008</v>
      </c>
      <c r="L56" s="9" t="n">
        <f aca="false">L$5*(1+A_pore*L$6*($A56/100))/(1-L$6*(1+((1-phimax_pore)/phimax_pore^2)*($A56/100))*($A56/100))</f>
        <v>1.7260291944063</v>
      </c>
      <c r="M56" s="9" t="n">
        <f aca="false">M$5*(1+A_pore*M$6*($A56/100))/(1-M$6*(1+((1-phimax_pore)/phimax_pore^2)*($A56/100))*($A56/100))</f>
        <v>1.73036098074857</v>
      </c>
      <c r="N56" s="9" t="n">
        <f aca="false">N$5*(1+A_pore*N$6*($A56/100))/(1-N$6*(1+((1-phimax_pore)/phimax_pore^2)*($A56/100))*($A56/100))</f>
        <v>1.73478024072018</v>
      </c>
      <c r="O56" s="9" t="n">
        <f aca="false">O$5*(1+A_pore*O$6*($A56/100))/(1-O$6*(1+((1-phimax_pore)/phimax_pore^2)*($A56/100))*($A56/100))</f>
        <v>1.73928991006817</v>
      </c>
      <c r="P56" s="9" t="n">
        <f aca="false">P$5*(1+A_pore*P$6*($A56/100))/(1-P$6*(1+((1-phimax_pore)/phimax_pore^2)*($A56/100))*($A56/100))</f>
        <v>1.7438930672571</v>
      </c>
      <c r="Q56" s="9" t="n">
        <f aca="false">Q$5*(1+A_pore*Q$6*($A56/100))/(1-Q$6*(1+((1-phimax_pore)/phimax_pore^2)*($A56/100))*($A56/100))</f>
        <v>1.74859294268252</v>
      </c>
      <c r="R56" s="9" t="n">
        <f aca="false">R$5*(1+A_pore*R$6*($A56/100))/(1-R$6*(1+((1-phimax_pore)/phimax_pore^2)*($A56/100))*($A56/100))</f>
        <v>1.75339292862922</v>
      </c>
      <c r="S56" s="9" t="n">
        <f aca="false">S$5*(1+A_pore*S$6*($A56/100))/(1-S$6*(1+((1-phimax_pore)/phimax_pore^2)*($A56/100))*($A56/100))</f>
        <v>1.75829659004665</v>
      </c>
      <c r="T56" s="9" t="n">
        <f aca="false">T$5*(1+A_pore*T$6*($A56/100))/(1-T$6*(1+((1-phimax_pore)/phimax_pore^2)*($A56/100))*($A56/100))</f>
        <v>1.76330767622219</v>
      </c>
      <c r="U56" s="9" t="n">
        <f aca="false">U$5*(1+A_pore*U$6*($A56/100))/(1-U$6*(1+((1-phimax_pore)/phimax_pore^2)*($A56/100))*($A56/100))</f>
        <v>1.76843013344224</v>
      </c>
      <c r="V56" s="9" t="n">
        <f aca="false">V$5*(1+A_pore*V$6*($A56/100))/(1-V$6*(1+((1-phimax_pore)/phimax_pore^2)*($A56/100))*($A56/100))</f>
        <v>1.77366811874167</v>
      </c>
      <c r="W56" s="9" t="n">
        <f aca="false">W$5*(1+A_pore*W$6*($A56/100))/(1-W$6*(1+((1-phimax_pore)/phimax_pore^2)*($A56/100))*($A56/100))</f>
        <v>1.77902601485401</v>
      </c>
      <c r="X56" s="9" t="n">
        <f aca="false">X$5*(1+A_pore*X$6*($A56/100))/(1-X$6*(1+((1-phimax_pore)/phimax_pore^2)*($A56/100))*($A56/100))</f>
        <v>1.78450844648869</v>
      </c>
      <c r="Y56" s="9" t="n">
        <f aca="false">Y$5*(1+A_pore*Y$6*($A56/100))/(1-Y$6*(1+((1-phimax_pore)/phimax_pore^2)*($A56/100))*($A56/100))</f>
        <v>1.79012029807658</v>
      </c>
      <c r="Z56" s="9" t="n">
        <f aca="false">Z$5*(1+A_pore*Z$6*($A56/100))/(1-Z$6*(1+((1-phimax_pore)/phimax_pore^2)*($A56/100))*($A56/100))</f>
        <v>1.79586673314341</v>
      </c>
      <c r="AA56" s="9" t="n">
        <f aca="false">AA$5*(1+A_pore*AA$6*($A56/100))/(1-AA$6*(1+((1-phimax_pore)/phimax_pore^2)*($A56/100))*($A56/100))</f>
        <v>1.80175321549021</v>
      </c>
      <c r="AB56" s="9" t="n">
        <f aca="false">AB$5*(1+A_pore*AB$6*($A56/100))/(1-AB$6*(1+((1-phimax_pore)/phimax_pore^2)*($A56/100))*($A56/100))</f>
        <v>1.80778553238356</v>
      </c>
      <c r="AC56" s="9" t="n">
        <f aca="false">AC$5*(1+A_pore*AC$6*($A56/100))/(1-AC$6*(1+((1-phimax_pore)/phimax_pore^2)*($A56/100))*($A56/100))</f>
        <v>1.81396981998477</v>
      </c>
      <c r="AD56" s="9" t="n">
        <f aca="false">AD$5*(1+A_pore*AD$6*($A56/100))/(1-AD$6*(1+((1-phimax_pore)/phimax_pore^2)*($A56/100))*($A56/100))</f>
        <v>1.82031259127754</v>
      </c>
      <c r="AE56" s="9" t="n">
        <f aca="false">AE$5*(1+A_pore*AE$6*($A56/100))/(1-AE$6*(1+((1-phimax_pore)/phimax_pore^2)*($A56/100))*($A56/100))</f>
        <v>1.82682076678934</v>
      </c>
      <c r="AF56" s="9" t="n">
        <f aca="false">AF$5*(1+A_pore*AF$6*($A56/100))/(1-AF$6*(1+((1-phimax_pore)/phimax_pore^2)*($A56/100))*($A56/100))</f>
        <v>1.83350170844194</v>
      </c>
      <c r="AG56" s="9" t="n">
        <f aca="false">AG$5*(1+A_pore*AG$6*($A56/100))/(1-AG$6*(1+((1-phimax_pore)/phimax_pore^2)*($A56/100))*($A56/100))</f>
        <v>1.84036325691426</v>
      </c>
      <c r="AH56" s="9" t="n">
        <f aca="false">AH$5*(1+A_pore*AH$6*($A56/100))/(1-AH$6*(1+((1-phimax_pore)/phimax_pore^2)*($A56/100))*($A56/100))</f>
        <v>1.84741377295504</v>
      </c>
      <c r="AI56" s="9" t="n">
        <f aca="false">AI$5*(1+A_pore*AI$6*($A56/100))/(1-AI$6*(1+((1-phimax_pore)/phimax_pore^2)*($A56/100))*($A56/100))</f>
        <v>1.85466218314714</v>
      </c>
      <c r="AJ56" s="9" t="n">
        <f aca="false">AJ$5*(1+A_pore*AJ$6*($A56/100))/(1-AJ$6*(1+((1-phimax_pore)/phimax_pore^2)*($A56/100))*($A56/100))</f>
        <v>1.86211803069941</v>
      </c>
      <c r="AK56" s="9" t="n">
        <f aca="false">AK$5*(1+A_pore*AK$6*($A56/100))/(1-AK$6*(1+((1-phimax_pore)/phimax_pore^2)*($A56/100))*($A56/100))</f>
        <v>1.86979153192974</v>
      </c>
    </row>
    <row r="57" customFormat="false" ht="15" hidden="false" customHeight="false" outlineLevel="0" collapsed="false">
      <c r="A57" s="4" t="n">
        <v>48</v>
      </c>
      <c r="B57" s="9" t="n">
        <f aca="false">B$5*(1+A_pore*B$6*($A57/100))/(1-B$6*(1+((1-phimax_pore)/phimax_pore^2)*($A57/100))*($A57/100))</f>
        <v>1.66701734684831</v>
      </c>
      <c r="C57" s="9" t="n">
        <f aca="false">C$5*(1+A_pore*C$6*($A57/100))/(1-C$6*(1+((1-phimax_pore)/phimax_pore^2)*($A57/100))*($A57/100))</f>
        <v>1.67047956372625</v>
      </c>
      <c r="D57" s="9" t="n">
        <f aca="false">D$5*(1+A_pore*D$6*($A57/100))/(1-D$6*(1+((1-phimax_pore)/phimax_pore^2)*($A57/100))*($A57/100))</f>
        <v>1.67400365485069</v>
      </c>
      <c r="E57" s="9" t="n">
        <f aca="false">E$5*(1+A_pore*E$6*($A57/100))/(1-E$6*(1+((1-phimax_pore)/phimax_pore^2)*($A57/100))*($A57/100))</f>
        <v>1.67759143642217</v>
      </c>
      <c r="F57" s="9" t="n">
        <f aca="false">F$5*(1+A_pore*F$6*($A57/100))/(1-F$6*(1+((1-phimax_pore)/phimax_pore^2)*($A57/100))*($A57/100))</f>
        <v>1.68124480142701</v>
      </c>
      <c r="G57" s="9" t="n">
        <f aca="false">G$5*(1+A_pore*G$6*($A57/100))/(1-G$6*(1+((1-phimax_pore)/phimax_pore^2)*($A57/100))*($A57/100))</f>
        <v>1.68496572394355</v>
      </c>
      <c r="H57" s="9" t="n">
        <f aca="false">H$5*(1+A_pore*H$6*($A57/100))/(1-H$6*(1+((1-phimax_pore)/phimax_pore^2)*($A57/100))*($A57/100))</f>
        <v>1.68875626375095</v>
      </c>
      <c r="I57" s="9" t="n">
        <f aca="false">I$5*(1+A_pore*I$6*($A57/100))/(1-I$6*(1+((1-phimax_pore)/phimax_pore^2)*($A57/100))*($A57/100))</f>
        <v>1.69261857126627</v>
      </c>
      <c r="J57" s="9" t="n">
        <f aca="false">J$5*(1+A_pore*J$6*($A57/100))/(1-J$6*(1+((1-phimax_pore)/phimax_pore^2)*($A57/100))*($A57/100))</f>
        <v>1.69655489283794</v>
      </c>
      <c r="K57" s="9" t="n">
        <f aca="false">K$5*(1+A_pore*K$6*($A57/100))/(1-K$6*(1+((1-phimax_pore)/phimax_pore^2)*($A57/100))*($A57/100))</f>
        <v>1.70056757642652</v>
      </c>
      <c r="L57" s="9" t="n">
        <f aca="false">L$5*(1+A_pore*L$6*($A57/100))/(1-L$6*(1+((1-phimax_pore)/phimax_pore^2)*($A57/100))*($A57/100))</f>
        <v>1.70465907770692</v>
      </c>
      <c r="M57" s="9" t="n">
        <f aca="false">M$5*(1+A_pore*M$6*($A57/100))/(1-M$6*(1+((1-phimax_pore)/phimax_pore^2)*($A57/100))*($A57/100))</f>
        <v>1.70883196662976</v>
      </c>
      <c r="N57" s="9" t="n">
        <f aca="false">N$5*(1+A_pore*N$6*($A57/100))/(1-N$6*(1+((1-phimax_pore)/phimax_pore^2)*($A57/100))*($A57/100))</f>
        <v>1.71308893448334</v>
      </c>
      <c r="O57" s="9" t="n">
        <f aca="false">O$5*(1+A_pore*O$6*($A57/100))/(1-O$6*(1+((1-phimax_pore)/phimax_pore^2)*($A57/100))*($A57/100))</f>
        <v>1.71743280150216</v>
      </c>
      <c r="P57" s="9" t="n">
        <f aca="false">P$5*(1+A_pore*P$6*($A57/100))/(1-P$6*(1+((1-phimax_pore)/phimax_pore^2)*($A57/100))*($A57/100))</f>
        <v>1.72186652507311</v>
      </c>
      <c r="Q57" s="9" t="n">
        <f aca="false">Q$5*(1+A_pore*Q$6*($A57/100))/(1-Q$6*(1+((1-phimax_pore)/phimax_pore^2)*($A57/100))*($A57/100))</f>
        <v>1.72639320859547</v>
      </c>
      <c r="R57" s="9" t="n">
        <f aca="false">R$5*(1+A_pore*R$6*($A57/100))/(1-R$6*(1+((1-phimax_pore)/phimax_pore^2)*($A57/100))*($A57/100))</f>
        <v>1.73101611105764</v>
      </c>
      <c r="S57" s="9" t="n">
        <f aca="false">S$5*(1+A_pore*S$6*($A57/100))/(1-S$6*(1+((1-phimax_pore)/phimax_pore^2)*($A57/100))*($A57/100))</f>
        <v>1.73573865740026</v>
      </c>
      <c r="T57" s="9" t="n">
        <f aca="false">T$5*(1+A_pore*T$6*($A57/100))/(1-T$6*(1+((1-phimax_pore)/phimax_pore^2)*($A57/100))*($A57/100))</f>
        <v>1.74056444974325</v>
      </c>
      <c r="U57" s="9" t="n">
        <f aca="false">U$5*(1+A_pore*U$6*($A57/100))/(1-U$6*(1+((1-phimax_pore)/phimax_pore^2)*($A57/100))*($A57/100))</f>
        <v>1.74549727956362</v>
      </c>
      <c r="V57" s="9" t="n">
        <f aca="false">V$5*(1+A_pore*V$6*($A57/100))/(1-V$6*(1+((1-phimax_pore)/phimax_pore^2)*($A57/100))*($A57/100))</f>
        <v>1.75054114092061</v>
      </c>
      <c r="W57" s="9" t="n">
        <f aca="false">W$5*(1+A_pore*W$6*($A57/100))/(1-W$6*(1+((1-phimax_pore)/phimax_pore^2)*($A57/100))*($A57/100))</f>
        <v>1.75570024483656</v>
      </c>
      <c r="X57" s="9" t="n">
        <f aca="false">X$5*(1+A_pore*X$6*($A57/100))/(1-X$6*(1+((1-phimax_pore)/phimax_pore^2)*($A57/100))*($A57/100))</f>
        <v>1.76097903495494</v>
      </c>
      <c r="Y57" s="9" t="n">
        <f aca="false">Y$5*(1+A_pore*Y$6*($A57/100))/(1-Y$6*(1+((1-phimax_pore)/phimax_pore^2)*($A57/100))*($A57/100))</f>
        <v>1.76638220461179</v>
      </c>
      <c r="Z57" s="9" t="n">
        <f aca="false">Z$5*(1+A_pore*Z$6*($A57/100))/(1-Z$6*(1+((1-phimax_pore)/phimax_pore^2)*($A57/100))*($A57/100))</f>
        <v>1.7719147154739</v>
      </c>
      <c r="AA57" s="9" t="n">
        <f aca="false">AA$5*(1+A_pore*AA$6*($A57/100))/(1-AA$6*(1+((1-phimax_pore)/phimax_pore^2)*($A57/100))*($A57/100))</f>
        <v>1.77758181791665</v>
      </c>
      <c r="AB57" s="9" t="n">
        <f aca="false">AB$5*(1+A_pore*AB$6*($A57/100))/(1-AB$6*(1+((1-phimax_pore)/phimax_pore^2)*($A57/100))*($A57/100))</f>
        <v>1.78338907333638</v>
      </c>
      <c r="AC57" s="9" t="n">
        <f aca="false">AC$5*(1+A_pore*AC$6*($A57/100))/(1-AC$6*(1+((1-phimax_pore)/phimax_pore^2)*($A57/100))*($A57/100))</f>
        <v>1.78934237861813</v>
      </c>
      <c r="AD57" s="9" t="n">
        <f aca="false">AD$5*(1+A_pore*AD$6*($A57/100))/(1-AD$6*(1+((1-phimax_pore)/phimax_pore^2)*($A57/100))*($A57/100))</f>
        <v>1.79544799300881</v>
      </c>
      <c r="AE57" s="9" t="n">
        <f aca="false">AE$5*(1+A_pore*AE$6*($A57/100))/(1-AE$6*(1+((1-phimax_pore)/phimax_pore^2)*($A57/100))*($A57/100))</f>
        <v>1.80171256767986</v>
      </c>
      <c r="AF57" s="9" t="n">
        <f aca="false">AF$5*(1+A_pore*AF$6*($A57/100))/(1-AF$6*(1+((1-phimax_pore)/phimax_pore^2)*($A57/100))*($A57/100))</f>
        <v>1.80814317830269</v>
      </c>
      <c r="AG57" s="9" t="n">
        <f aca="false">AG$5*(1+A_pore*AG$6*($A57/100))/(1-AG$6*(1+((1-phimax_pore)/phimax_pore^2)*($A57/100))*($A57/100))</f>
        <v>1.81474736100574</v>
      </c>
      <c r="AH57" s="9" t="n">
        <f aca="false">AH$5*(1+A_pore*AH$6*($A57/100))/(1-AH$6*(1+((1-phimax_pore)/phimax_pore^2)*($A57/100))*($A57/100))</f>
        <v>1.82153315213469</v>
      </c>
      <c r="AI57" s="9" t="n">
        <f aca="false">AI$5*(1+A_pore*AI$6*($A57/100))/(1-AI$6*(1+((1-phimax_pore)/phimax_pore^2)*($A57/100))*($A57/100))</f>
        <v>1.82850913229899</v>
      </c>
      <c r="AJ57" s="9" t="n">
        <f aca="false">AJ$5*(1+A_pore*AJ$6*($A57/100))/(1-AJ$6*(1+((1-phimax_pore)/phimax_pore^2)*($A57/100))*($A57/100))</f>
        <v>1.83568447525955</v>
      </c>
      <c r="AK57" s="9" t="n">
        <f aca="false">AK$5*(1+A_pore*AK$6*($A57/100))/(1-AK$6*(1+((1-phimax_pore)/phimax_pore^2)*($A57/100))*($A57/100))</f>
        <v>1.84306900229666</v>
      </c>
    </row>
    <row r="58" customFormat="false" ht="15" hidden="false" customHeight="false" outlineLevel="0" collapsed="false">
      <c r="A58" s="4" t="n">
        <v>49</v>
      </c>
      <c r="B58" s="9" t="n">
        <f aca="false">B$5*(1+A_pore*B$6*($A58/100))/(1-B$6*(1+((1-phimax_pore)/phimax_pore^2)*($A58/100))*($A58/100))</f>
        <v>1.64746917400097</v>
      </c>
      <c r="C58" s="9" t="n">
        <f aca="false">C$5*(1+A_pore*C$6*($A58/100))/(1-C$6*(1+((1-phimax_pore)/phimax_pore^2)*($A58/100))*($A58/100))</f>
        <v>1.6508052246976</v>
      </c>
      <c r="D58" s="9" t="n">
        <f aca="false">D$5*(1+A_pore*D$6*($A58/100))/(1-D$6*(1+((1-phimax_pore)/phimax_pore^2)*($A58/100))*($A58/100))</f>
        <v>1.6542007554472</v>
      </c>
      <c r="E58" s="9" t="n">
        <f aca="false">E$5*(1+A_pore*E$6*($A58/100))/(1-E$6*(1+((1-phimax_pore)/phimax_pore^2)*($A58/100))*($A58/100))</f>
        <v>1.6576575107351</v>
      </c>
      <c r="F58" s="9" t="n">
        <f aca="false">F$5*(1+A_pore*F$6*($A58/100))/(1-F$6*(1+((1-phimax_pore)/phimax_pore^2)*($A58/100))*($A58/100))</f>
        <v>1.6611773088122</v>
      </c>
      <c r="G58" s="9" t="n">
        <f aca="false">G$5*(1+A_pore*G$6*($A58/100))/(1-G$6*(1+((1-phimax_pore)/phimax_pore^2)*($A58/100))*($A58/100))</f>
        <v>1.66476204583422</v>
      </c>
      <c r="H58" s="9" t="n">
        <f aca="false">H$5*(1+A_pore*H$6*($A58/100))/(1-H$6*(1+((1-phimax_pore)/phimax_pore^2)*($A58/100))*($A58/100))</f>
        <v>1.668413700292</v>
      </c>
      <c r="I58" s="9" t="n">
        <f aca="false">I$5*(1+A_pore*I$6*($A58/100))/(1-I$6*(1+((1-phimax_pore)/phimax_pore^2)*($A58/100))*($A58/100))</f>
        <v>1.67213433775754</v>
      </c>
      <c r="J58" s="9" t="n">
        <f aca="false">J$5*(1+A_pore*J$6*($A58/100))/(1-J$6*(1+((1-phimax_pore)/phimax_pore^2)*($A58/100))*($A58/100))</f>
        <v>1.67592611597288</v>
      </c>
      <c r="K58" s="9" t="n">
        <f aca="false">K$5*(1+A_pore*K$6*($A58/100))/(1-K$6*(1+((1-phimax_pore)/phimax_pore^2)*($A58/100))*($A58/100))</f>
        <v>1.67979129031148</v>
      </c>
      <c r="L58" s="9" t="n">
        <f aca="false">L$5*(1+A_pore*L$6*($A58/100))/(1-L$6*(1+((1-phimax_pore)/phimax_pore^2)*($A58/100))*($A58/100))</f>
        <v>1.68373221964521</v>
      </c>
      <c r="M58" s="9" t="n">
        <f aca="false">M$5*(1+A_pore*M$6*($A58/100))/(1-M$6*(1+((1-phimax_pore)/phimax_pore^2)*($A58/100))*($A58/100))</f>
        <v>1.68775137265281</v>
      </c>
      <c r="N58" s="9" t="n">
        <f aca="false">N$5*(1+A_pore*N$6*($A58/100))/(1-N$6*(1+((1-phimax_pore)/phimax_pore^2)*($A58/100))*($A58/100))</f>
        <v>1.69185133461014</v>
      </c>
      <c r="O58" s="9" t="n">
        <f aca="false">O$5*(1+A_pore*O$6*($A58/100))/(1-O$6*(1+((1-phimax_pore)/phimax_pore^2)*($A58/100))*($A58/100))</f>
        <v>1.69603481470632</v>
      </c>
      <c r="P58" s="9" t="n">
        <f aca="false">P$5*(1+A_pore*P$6*($A58/100))/(1-P$6*(1+((1-phimax_pore)/phimax_pore^2)*($A58/100))*($A58/100))</f>
        <v>1.70030465393474</v>
      </c>
      <c r="Q58" s="9" t="n">
        <f aca="false">Q$5*(1+A_pore*Q$6*($A58/100))/(1-Q$6*(1+((1-phimax_pore)/phimax_pore^2)*($A58/100))*($A58/100))</f>
        <v>1.70466383361333</v>
      </c>
      <c r="R58" s="9" t="n">
        <f aca="false">R$5*(1+A_pore*R$6*($A58/100))/(1-R$6*(1+((1-phimax_pore)/phimax_pore^2)*($A58/100))*($A58/100))</f>
        <v>1.70911548459447</v>
      </c>
      <c r="S58" s="9" t="n">
        <f aca="false">S$5*(1+A_pore*S$6*($A58/100))/(1-S$6*(1+((1-phimax_pore)/phimax_pore^2)*($A58/100))*($A58/100))</f>
        <v>1.7136628972315</v>
      </c>
      <c r="T58" s="9" t="n">
        <f aca="false">T$5*(1+A_pore*T$6*($A58/100))/(1-T$6*(1+((1-phimax_pore)/phimax_pore^2)*($A58/100))*($A58/100))</f>
        <v>1.71830953217686</v>
      </c>
      <c r="U58" s="9" t="n">
        <f aca="false">U$5*(1+A_pore*U$6*($A58/100))/(1-U$6*(1+((1-phimax_pore)/phimax_pore^2)*($A58/100))*($A58/100))</f>
        <v>1.72305903209491</v>
      </c>
      <c r="V58" s="9" t="n">
        <f aca="false">V$5*(1+A_pore*V$6*($A58/100))/(1-V$6*(1+((1-phimax_pore)/phimax_pore^2)*($A58/100))*($A58/100))</f>
        <v>1.72791523438291</v>
      </c>
      <c r="W58" s="9" t="n">
        <f aca="false">W$5*(1+A_pore*W$6*($A58/100))/(1-W$6*(1+((1-phimax_pore)/phimax_pore^2)*($A58/100))*($A58/100))</f>
        <v>1.73288218500424</v>
      </c>
      <c r="X58" s="9" t="n">
        <f aca="false">X$5*(1+A_pore*X$6*($A58/100))/(1-X$6*(1+((1-phimax_pore)/phimax_pore^2)*($A58/100))*($A58/100))</f>
        <v>1.73796415355088</v>
      </c>
      <c r="Y58" s="9" t="n">
        <f aca="false">Y$5*(1+A_pore*Y$6*($A58/100))/(1-Y$6*(1+((1-phimax_pore)/phimax_pore^2)*($A58/100))*($A58/100))</f>
        <v>1.74316564966624</v>
      </c>
      <c r="Z58" s="9" t="n">
        <f aca="false">Z$5*(1+A_pore*Z$6*($A58/100))/(1-Z$6*(1+((1-phimax_pore)/phimax_pore^2)*($A58/100))*($A58/100))</f>
        <v>1.74849144097622</v>
      </c>
      <c r="AA58" s="9" t="n">
        <f aca="false">AA$5*(1+A_pore*AA$6*($A58/100))/(1-AA$6*(1+((1-phimax_pore)/phimax_pore^2)*($A58/100))*($A58/100))</f>
        <v>1.7539465726946</v>
      </c>
      <c r="AB58" s="9" t="n">
        <f aca="false">AB$5*(1+A_pore*AB$6*($A58/100))/(1-AB$6*(1+((1-phimax_pore)/phimax_pore^2)*($A58/100))*($A58/100))</f>
        <v>1.75953638909092</v>
      </c>
      <c r="AC58" s="9" t="n">
        <f aca="false">AC$5*(1+A_pore*AC$6*($A58/100))/(1-AC$6*(1+((1-phimax_pore)/phimax_pore^2)*($A58/100))*($A58/100))</f>
        <v>1.76526655703301</v>
      </c>
      <c r="AD58" s="9" t="n">
        <f aca="false">AD$5*(1+A_pore*AD$6*($A58/100))/(1-AD$6*(1+((1-phimax_pore)/phimax_pore^2)*($A58/100))*($A58/100))</f>
        <v>1.7711430918454</v>
      </c>
      <c r="AE58" s="9" t="n">
        <f aca="false">AE$5*(1+A_pore*AE$6*($A58/100))/(1-AE$6*(1+((1-phimax_pore)/phimax_pore^2)*($A58/100))*($A58/100))</f>
        <v>1.77717238575679</v>
      </c>
      <c r="AF58" s="9" t="n">
        <f aca="false">AF$5*(1+A_pore*AF$6*($A58/100))/(1-AF$6*(1+((1-phimax_pore)/phimax_pore^2)*($A58/100))*($A58/100))</f>
        <v>1.78336123924832</v>
      </c>
      <c r="AG58" s="9" t="n">
        <f aca="false">AG$5*(1+A_pore*AG$6*($A58/100))/(1-AG$6*(1+((1-phimax_pore)/phimax_pore^2)*($A58/100))*($A58/100))</f>
        <v>1.78971689565746</v>
      </c>
      <c r="AH58" s="9" t="n">
        <f aca="false">AH$5*(1+A_pore*AH$6*($A58/100))/(1-AH$6*(1+((1-phimax_pore)/phimax_pore^2)*($A58/100))*($A58/100))</f>
        <v>1.79624707944378</v>
      </c>
      <c r="AI58" s="9" t="n">
        <f aca="false">AI$5*(1+A_pore*AI$6*($A58/100))/(1-AI$6*(1+((1-phimax_pore)/phimax_pore^2)*($A58/100))*($A58/100))</f>
        <v>1.80296003858185</v>
      </c>
      <c r="AJ58" s="9" t="n">
        <f aca="false">AJ$5*(1+A_pore*AJ$6*($A58/100))/(1-AJ$6*(1+((1-phimax_pore)/phimax_pore^2)*($A58/100))*($A58/100))</f>
        <v>1.80986459161557</v>
      </c>
      <c r="AK58" s="9" t="n">
        <f aca="false">AK$5*(1+A_pore*AK$6*($A58/100))/(1-AK$6*(1+((1-phimax_pore)/phimax_pore^2)*($A58/100))*($A58/100))</f>
        <v>1.81697017998969</v>
      </c>
    </row>
    <row r="59" customFormat="false" ht="15" hidden="false" customHeight="false" outlineLevel="0" collapsed="false">
      <c r="A59" s="4" t="n">
        <v>50</v>
      </c>
      <c r="B59" s="9" t="n">
        <f aca="false">B$5*(1+A_pore*B$6*($A59/100))/(1-B$6*(1+((1-phimax_pore)/phimax_pore^2)*($A59/100))*($A59/100))</f>
        <v>1.62830689693041</v>
      </c>
      <c r="C59" s="9" t="n">
        <f aca="false">C$5*(1+A_pore*C$6*($A59/100))/(1-C$6*(1+((1-phimax_pore)/phimax_pore^2)*($A59/100))*($A59/100))</f>
        <v>1.63152073512645</v>
      </c>
      <c r="D59" s="9" t="n">
        <f aca="false">D$5*(1+A_pore*D$6*($A59/100))/(1-D$6*(1+((1-phimax_pore)/phimax_pore^2)*($A59/100))*($A59/100))</f>
        <v>1.63479174460626</v>
      </c>
      <c r="E59" s="9" t="n">
        <f aca="false">E$5*(1+A_pore*E$6*($A59/100))/(1-E$6*(1+((1-phimax_pore)/phimax_pore^2)*($A59/100))*($A59/100))</f>
        <v>1.63812160085985</v>
      </c>
      <c r="F59" s="9" t="n">
        <f aca="false">F$5*(1+A_pore*F$6*($A59/100))/(1-F$6*(1+((1-phimax_pore)/phimax_pore^2)*($A59/100))*($A59/100))</f>
        <v>1.64151205023922</v>
      </c>
      <c r="G59" s="9" t="n">
        <f aca="false">G$5*(1+A_pore*G$6*($A59/100))/(1-G$6*(1+((1-phimax_pore)/phimax_pore^2)*($A59/100))*($A59/100))</f>
        <v>1.64496491393698</v>
      </c>
      <c r="H59" s="9" t="n">
        <f aca="false">H$5*(1+A_pore*H$6*($A59/100))/(1-H$6*(1+((1-phimax_pore)/phimax_pore^2)*($A59/100))*($A59/100))</f>
        <v>1.64848209224503</v>
      </c>
      <c r="I59" s="9" t="n">
        <f aca="false">I$5*(1+A_pore*I$6*($A59/100))/(1-I$6*(1+((1-phimax_pore)/phimax_pore^2)*($A59/100))*($A59/100))</f>
        <v>1.65206556911689</v>
      </c>
      <c r="J59" s="9" t="n">
        <f aca="false">J$5*(1+A_pore*J$6*($A59/100))/(1-J$6*(1+((1-phimax_pore)/phimax_pore^2)*($A59/100))*($A59/100))</f>
        <v>1.65571741705976</v>
      </c>
      <c r="K59" s="9" t="n">
        <f aca="false">K$5*(1+A_pore*K$6*($A59/100))/(1-K$6*(1+((1-phimax_pore)/phimax_pore^2)*($A59/100))*($A59/100))</f>
        <v>1.65943980238498</v>
      </c>
      <c r="L59" s="9" t="n">
        <f aca="false">L$5*(1+A_pore*L$6*($A59/100))/(1-L$6*(1+((1-phimax_pore)/phimax_pore^2)*($A59/100))*($A59/100))</f>
        <v>1.6632349908486</v>
      </c>
      <c r="M59" s="9" t="n">
        <f aca="false">M$5*(1+A_pore*M$6*($A59/100))/(1-M$6*(1+((1-phimax_pore)/phimax_pore^2)*($A59/100))*($A59/100))</f>
        <v>1.66710535371672</v>
      </c>
      <c r="N59" s="9" t="n">
        <f aca="false">N$5*(1+A_pore*N$6*($A59/100))/(1-N$6*(1+((1-phimax_pore)/phimax_pore^2)*($A59/100))*($A59/100))</f>
        <v>1.67105337429435</v>
      </c>
      <c r="O59" s="9" t="n">
        <f aca="false">O$5*(1+A_pore*O$6*($A59/100))/(1-O$6*(1+((1-phimax_pore)/phimax_pore^2)*($A59/100))*($A59/100))</f>
        <v>1.67508165496011</v>
      </c>
      <c r="P59" s="9" t="n">
        <f aca="false">P$5*(1+A_pore*P$6*($A59/100))/(1-P$6*(1+((1-phimax_pore)/phimax_pore^2)*($A59/100))*($A59/100))</f>
        <v>1.67919292475417</v>
      </c>
      <c r="Q59" s="9" t="n">
        <f aca="false">Q$5*(1+A_pore*Q$6*($A59/100))/(1-Q$6*(1+((1-phimax_pore)/phimax_pore^2)*($A59/100))*($A59/100))</f>
        <v>1.68339004757162</v>
      </c>
      <c r="R59" s="9" t="n">
        <f aca="false">R$5*(1+A_pore*R$6*($A59/100))/(1-R$6*(1+((1-phimax_pore)/phimax_pore^2)*($A59/100))*($A59/100))</f>
        <v>1.6876760310193</v>
      </c>
      <c r="S59" s="9" t="n">
        <f aca="false">S$5*(1+A_pore*S$6*($A59/100))/(1-S$6*(1+((1-phimax_pore)/phimax_pore^2)*($A59/100))*($A59/100))</f>
        <v>1.69205403600091</v>
      </c>
      <c r="T59" s="9" t="n">
        <f aca="false">T$5*(1+A_pore*T$6*($A59/100))/(1-T$6*(1+((1-phimax_pore)/phimax_pore^2)*($A59/100))*($A59/100))</f>
        <v>1.69652738710211</v>
      </c>
      <c r="U59" s="9" t="n">
        <f aca="false">U$5*(1+A_pore*U$6*($A59/100))/(1-U$6*(1+((1-phimax_pore)/phimax_pore^2)*($A59/100))*($A59/100))</f>
        <v>1.70109958385605</v>
      </c>
      <c r="V59" s="9" t="n">
        <f aca="false">V$5*(1+A_pore*V$6*($A59/100))/(1-V$6*(1+((1-phimax_pore)/phimax_pore^2)*($A59/100))*($A59/100))</f>
        <v>1.70577431297907</v>
      </c>
      <c r="W59" s="9" t="n">
        <f aca="false">W$5*(1+A_pore*W$6*($A59/100))/(1-W$6*(1+((1-phimax_pore)/phimax_pore^2)*($A59/100))*($A59/100))</f>
        <v>1.71055546167677</v>
      </c>
      <c r="X59" s="9" t="n">
        <f aca="false">X$5*(1+A_pore*X$6*($A59/100))/(1-X$6*(1+((1-phimax_pore)/phimax_pore^2)*($A59/100))*($A59/100))</f>
        <v>1.7154471321332</v>
      </c>
      <c r="Y59" s="9" t="n">
        <f aca="false">Y$5*(1+A_pore*Y$6*($A59/100))/(1-Y$6*(1+((1-phimax_pore)/phimax_pore^2)*($A59/100))*($A59/100))</f>
        <v>1.72045365730941</v>
      </c>
      <c r="Z59" s="9" t="n">
        <f aca="false">Z$5*(1+A_pore*Z$6*($A59/100))/(1-Z$6*(1+((1-phimax_pore)/phimax_pore^2)*($A59/100))*($A59/100))</f>
        <v>1.7255796181936</v>
      </c>
      <c r="AA59" s="9" t="n">
        <f aca="false">AA$5*(1+A_pore*AA$6*($A59/100))/(1-AA$6*(1+((1-phimax_pore)/phimax_pore^2)*($A59/100))*($A59/100))</f>
        <v>1.73082986266298</v>
      </c>
      <c r="AB59" s="9" t="n">
        <f aca="false">AB$5*(1+A_pore*AB$6*($A59/100))/(1-AB$6*(1+((1-phimax_pore)/phimax_pore^2)*($A59/100))*($A59/100))</f>
        <v>1.73620952613832</v>
      </c>
      <c r="AC59" s="9" t="n">
        <f aca="false">AC$5*(1+A_pore*AC$6*($A59/100))/(1-AC$6*(1+((1-phimax_pore)/phimax_pore^2)*($A59/100))*($A59/100))</f>
        <v>1.74172405423579</v>
      </c>
      <c r="AD59" s="9" t="n">
        <f aca="false">AD$5*(1+A_pore*AD$6*($A59/100))/(1-AD$6*(1+((1-phimax_pore)/phimax_pore^2)*($A59/100))*($A59/100))</f>
        <v>1.74737922764796</v>
      </c>
      <c r="AE59" s="9" t="n">
        <f aca="false">AE$5*(1+A_pore*AE$6*($A59/100))/(1-AE$6*(1+((1-phimax_pore)/phimax_pore^2)*($A59/100))*($A59/100))</f>
        <v>1.75318118951745</v>
      </c>
      <c r="AF59" s="9" t="n">
        <f aca="false">AF$5*(1+A_pore*AF$6*($A59/100))/(1-AF$6*(1+((1-phimax_pore)/phimax_pore^2)*($A59/100))*($A59/100))</f>
        <v>1.75913647560309</v>
      </c>
      <c r="AG59" s="9" t="n">
        <f aca="false">AG$5*(1+A_pore*AG$6*($A59/100))/(1-AG$6*(1+((1-phimax_pore)/phimax_pore^2)*($A59/100))*($A59/100))</f>
        <v>1.76525204758051</v>
      </c>
      <c r="AH59" s="9" t="n">
        <f aca="false">AH$5*(1+A_pore*AH$6*($A59/100))/(1-AH$6*(1+((1-phimax_pore)/phimax_pore^2)*($A59/100))*($A59/100))</f>
        <v>1.77153532986835</v>
      </c>
      <c r="AI59" s="9" t="n">
        <f aca="false">AI$5*(1+A_pore*AI$6*($A59/100))/(1-AI$6*(1+((1-phimax_pore)/phimax_pore^2)*($A59/100))*($A59/100))</f>
        <v>1.777994250428</v>
      </c>
      <c r="AJ59" s="9" t="n">
        <f aca="false">AJ$5*(1+A_pore*AJ$6*($A59/100))/(1-AJ$6*(1+((1-phimax_pore)/phimax_pore^2)*($A59/100))*($A59/100))</f>
        <v>1.78463728605179</v>
      </c>
      <c r="AK59" s="9" t="n">
        <f aca="false">AK$5*(1+A_pore*AK$6*($A59/100))/(1-AK$6*(1+((1-phimax_pore)/phimax_pore^2)*($A59/100))*($A59/100))</f>
        <v>1.7914735127322</v>
      </c>
    </row>
    <row r="60" customFormat="false" ht="15" hidden="false" customHeight="false" outlineLevel="0" collapsed="false">
      <c r="A60" s="4" t="n">
        <v>51</v>
      </c>
      <c r="B60" s="9" t="n">
        <f aca="false">B$5*(1+A_pore*B$6*($A60/100))/(1-B$6*(1+((1-phimax_pore)/phimax_pore^2)*($A60/100))*($A60/100))</f>
        <v>1.60951921767122</v>
      </c>
      <c r="C60" s="9" t="n">
        <f aca="false">C$5*(1+A_pore*C$6*($A60/100))/(1-C$6*(1+((1-phimax_pore)/phimax_pore^2)*($A60/100))*($A60/100))</f>
        <v>1.61261463870833</v>
      </c>
      <c r="D60" s="9" t="n">
        <f aca="false">D$5*(1+A_pore*D$6*($A60/100))/(1-D$6*(1+((1-phimax_pore)/phimax_pore^2)*($A60/100))*($A60/100))</f>
        <v>1.6157650037483</v>
      </c>
      <c r="E60" s="9" t="n">
        <f aca="false">E$5*(1+A_pore*E$6*($A60/100))/(1-E$6*(1+((1-phimax_pore)/phimax_pore^2)*($A60/100))*($A60/100))</f>
        <v>1.61897192186895</v>
      </c>
      <c r="F60" s="9" t="n">
        <f aca="false">F$5*(1+A_pore*F$6*($A60/100))/(1-F$6*(1+((1-phimax_pore)/phimax_pore^2)*($A60/100))*($A60/100))</f>
        <v>1.62223707021688</v>
      </c>
      <c r="G60" s="9" t="n">
        <f aca="false">G$5*(1+A_pore*G$6*($A60/100))/(1-G$6*(1+((1-phimax_pore)/phimax_pore^2)*($A60/100))*($A60/100))</f>
        <v>1.62556219783169</v>
      </c>
      <c r="H60" s="9" t="n">
        <f aca="false">H$5*(1+A_pore*H$6*($A60/100))/(1-H$6*(1+((1-phimax_pore)/phimax_pore^2)*($A60/100))*($A60/100))</f>
        <v>1.6289491297394</v>
      </c>
      <c r="I60" s="9" t="n">
        <f aca="false">I$5*(1+A_pore*I$6*($A60/100))/(1-I$6*(1+((1-phimax_pore)/phimax_pore^2)*($A60/100))*($A60/100))</f>
        <v>1.63239977133798</v>
      </c>
      <c r="J60" s="9" t="n">
        <f aca="false">J$5*(1+A_pore*J$6*($A60/100))/(1-J$6*(1+((1-phimax_pore)/phimax_pore^2)*($A60/100))*($A60/100))</f>
        <v>1.63591611310001</v>
      </c>
      <c r="K60" s="9" t="n">
        <f aca="false">K$5*(1+A_pore*K$6*($A60/100))/(1-K$6*(1+((1-phimax_pore)/phimax_pore^2)*($A60/100))*($A60/100))</f>
        <v>1.63950023562014</v>
      </c>
      <c r="L60" s="9" t="n">
        <f aca="false">L$5*(1+A_pore*L$6*($A60/100))/(1-L$6*(1+((1-phimax_pore)/phimax_pore^2)*($A60/100))*($A60/100))</f>
        <v>1.64315431503773</v>
      </c>
      <c r="M60" s="9" t="n">
        <f aca="false">M$5*(1+A_pore*M$6*($A60/100))/(1-M$6*(1+((1-phimax_pore)/phimax_pore^2)*($A60/100))*($A60/100))</f>
        <v>1.64688062886818</v>
      </c>
      <c r="N60" s="9" t="n">
        <f aca="false">N$5*(1+A_pore*N$6*($A60/100))/(1-N$6*(1+((1-phimax_pore)/phimax_pore^2)*($A60/100))*($A60/100))</f>
        <v>1.65068156228008</v>
      </c>
      <c r="O60" s="9" t="n">
        <f aca="false">O$5*(1+A_pore*O$6*($A60/100))/(1-O$6*(1+((1-phimax_pore)/phimax_pore^2)*($A60/100))*($A60/100))</f>
        <v>1.65455961485912</v>
      </c>
      <c r="P60" s="9" t="n">
        <f aca="false">P$5*(1+A_pore*P$6*($A60/100))/(1-P$6*(1+((1-phimax_pore)/phimax_pore^2)*($A60/100))*($A60/100))</f>
        <v>1.65851740790416</v>
      </c>
      <c r="Q60" s="9" t="n">
        <f aca="false">Q$5*(1+A_pore*Q$6*($A60/100))/(1-Q$6*(1+((1-phimax_pore)/phimax_pore^2)*($A60/100))*($A60/100))</f>
        <v>1.66255769230581</v>
      </c>
      <c r="R60" s="9" t="n">
        <f aca="false">R$5*(1+A_pore*R$6*($A60/100))/(1-R$6*(1+((1-phimax_pore)/phimax_pore^2)*($A60/100))*($A60/100))</f>
        <v>1.6666833570635</v>
      </c>
      <c r="S60" s="9" t="n">
        <f aca="false">S$5*(1+A_pore*S$6*($A60/100))/(1-S$6*(1+((1-phimax_pore)/phimax_pore^2)*($A60/100))*($A60/100))</f>
        <v>1.67089743850303</v>
      </c>
      <c r="T60" s="9" t="n">
        <f aca="false">T$5*(1+A_pore*T$6*($A60/100))/(1-T$6*(1+((1-phimax_pore)/phimax_pore^2)*($A60/100))*($A60/100))</f>
        <v>1.67520313026422</v>
      </c>
      <c r="U60" s="9" t="n">
        <f aca="false">U$5*(1+A_pore*U$6*($A60/100))/(1-U$6*(1+((1-phimax_pore)/phimax_pore^2)*($A60/100))*($A60/100))</f>
        <v>1.67960379413552</v>
      </c>
      <c r="V60" s="9" t="n">
        <f aca="false">V$5*(1+A_pore*V$6*($A60/100))/(1-V$6*(1+((1-phimax_pore)/phimax_pore^2)*($A60/100))*($A60/100))</f>
        <v>1.68410297182233</v>
      </c>
      <c r="W60" s="9" t="n">
        <f aca="false">W$5*(1+A_pore*W$6*($A60/100))/(1-W$6*(1+((1-phimax_pore)/phimax_pore^2)*($A60/100))*($A60/100))</f>
        <v>1.68870439774538</v>
      </c>
      <c r="X60" s="9" t="n">
        <f aca="false">X$5*(1+A_pore*X$6*($A60/100))/(1-X$6*(1+((1-phimax_pore)/phimax_pore^2)*($A60/100))*($A60/100))</f>
        <v>1.69341201297774</v>
      </c>
      <c r="Y60" s="9" t="n">
        <f aca="false">Y$5*(1+A_pore*Y$6*($A60/100))/(1-Y$6*(1+((1-phimax_pore)/phimax_pore^2)*($A60/100))*($A60/100))</f>
        <v>1.6982299804419</v>
      </c>
      <c r="Z60" s="9" t="n">
        <f aca="false">Z$5*(1+A_pore*Z$6*($A60/100))/(1-Z$6*(1+((1-phimax_pore)/phimax_pore^2)*($A60/100))*($A60/100))</f>
        <v>1.70316270150403</v>
      </c>
      <c r="AA60" s="9" t="n">
        <f aca="false">AA$5*(1+A_pore*AA$6*($A60/100))/(1-AA$6*(1+((1-phimax_pore)/phimax_pore^2)*($A60/100))*($A60/100))</f>
        <v>1.70821483411946</v>
      </c>
      <c r="AB60" s="9" t="n">
        <f aca="false">AB$5*(1+A_pore*AB$6*($A60/100))/(1-AB$6*(1+((1-phimax_pore)/phimax_pore^2)*($A60/100))*($A60/100))</f>
        <v>1.71339131270365</v>
      </c>
      <c r="AC60" s="9" t="n">
        <f aca="false">AC$5*(1+A_pore*AC$6*($A60/100))/(1-AC$6*(1+((1-phimax_pore)/phimax_pore^2)*($A60/100))*($A60/100))</f>
        <v>1.71869736992563</v>
      </c>
      <c r="AD60" s="9" t="n">
        <f aca="false">AD$5*(1+A_pore*AD$6*($A60/100))/(1-AD$6*(1+((1-phimax_pore)/phimax_pore^2)*($A60/100))*($A60/100))</f>
        <v>1.72413856064728</v>
      </c>
      <c r="AE60" s="9" t="n">
        <f aca="false">AE$5*(1+A_pore*AE$6*($A60/100))/(1-AE$6*(1+((1-phimax_pore)/phimax_pore^2)*($A60/100))*($A60/100))</f>
        <v>1.72972078826198</v>
      </c>
      <c r="AF60" s="9" t="n">
        <f aca="false">AF$5*(1+A_pore*AF$6*($A60/100))/(1-AF$6*(1+((1-phimax_pore)/phimax_pore^2)*($A60/100))*($A60/100))</f>
        <v>1.73545033372157</v>
      </c>
      <c r="AG60" s="9" t="n">
        <f aca="false">AG$5*(1+A_pore*AG$6*($A60/100))/(1-AG$6*(1+((1-phimax_pore)/phimax_pore^2)*($A60/100))*($A60/100))</f>
        <v>1.74133388758069</v>
      </c>
      <c r="AH60" s="9" t="n">
        <f aca="false">AH$5*(1+A_pore*AH$6*($A60/100))/(1-AH$6*(1+((1-phimax_pore)/phimax_pore^2)*($A60/100))*($A60/100))</f>
        <v>1.7473785854353</v>
      </c>
      <c r="AI60" s="9" t="n">
        <f aca="false">AI$5*(1+A_pore*AI$6*($A60/100))/(1-AI$6*(1+((1-phimax_pore)/phimax_pore^2)*($A60/100))*($A60/100))</f>
        <v>1.75359204718671</v>
      </c>
      <c r="AJ60" s="9" t="n">
        <f aca="false">AJ$5*(1+A_pore*AJ$6*($A60/100))/(1-AJ$6*(1+((1-phimax_pore)/phimax_pore^2)*($A60/100))*($A60/100))</f>
        <v>1.75998242062691</v>
      </c>
      <c r="AK60" s="9" t="n">
        <f aca="false">AK$5*(1+A_pore*AK$6*($A60/100))/(1-AK$6*(1+((1-phimax_pore)/phimax_pore^2)*($A60/100))*($A60/100))</f>
        <v>1.76655842991595</v>
      </c>
    </row>
    <row r="61" customFormat="false" ht="15" hidden="false" customHeight="false" outlineLevel="0" collapsed="false">
      <c r="A61" s="4" t="n">
        <v>52</v>
      </c>
      <c r="B61" s="9" t="n">
        <f aca="false">B$5*(1+A_pore*B$6*($A61/100))/(1-B$6*(1+((1-phimax_pore)/phimax_pore^2)*($A61/100))*($A61/100))</f>
        <v>1.59109527501974</v>
      </c>
      <c r="C61" s="9" t="n">
        <f aca="false">C$5*(1+A_pore*C$6*($A61/100))/(1-C$6*(1+((1-phimax_pore)/phimax_pore^2)*($A61/100))*($A61/100))</f>
        <v>1.59407592365815</v>
      </c>
      <c r="D61" s="9" t="n">
        <f aca="false">D$5*(1+A_pore*D$6*($A61/100))/(1-D$6*(1+((1-phimax_pore)/phimax_pore^2)*($A61/100))*($A61/100))</f>
        <v>1.59710936679046</v>
      </c>
      <c r="E61" s="9" t="n">
        <f aca="false">E$5*(1+A_pore*E$6*($A61/100))/(1-E$6*(1+((1-phimax_pore)/phimax_pore^2)*($A61/100))*($A61/100))</f>
        <v>1.60019714953696</v>
      </c>
      <c r="F61" s="9" t="n">
        <f aca="false">F$5*(1+A_pore*F$6*($A61/100))/(1-F$6*(1+((1-phimax_pore)/phimax_pore^2)*($A61/100))*($A61/100))</f>
        <v>1.60334088239827</v>
      </c>
      <c r="G61" s="9" t="n">
        <f aca="false">G$5*(1+A_pore*G$6*($A61/100))/(1-G$6*(1+((1-phimax_pore)/phimax_pore^2)*($A61/100))*($A61/100))</f>
        <v>1.60654224493077</v>
      </c>
      <c r="H61" s="9" t="n">
        <f aca="false">H$5*(1+A_pore*H$6*($A61/100))/(1-H$6*(1+((1-phimax_pore)/phimax_pore^2)*($A61/100))*($A61/100))</f>
        <v>1.60980298968093</v>
      </c>
      <c r="I61" s="9" t="n">
        <f aca="false">I$5*(1+A_pore*I$6*($A61/100))/(1-I$6*(1+((1-phimax_pore)/phimax_pore^2)*($A61/100))*($A61/100))</f>
        <v>1.61312494640058</v>
      </c>
      <c r="J61" s="9" t="n">
        <f aca="false">J$5*(1+A_pore*J$6*($A61/100))/(1-J$6*(1+((1-phimax_pore)/phimax_pore^2)*($A61/100))*($A61/100))</f>
        <v>1.61651002656721</v>
      </c>
      <c r="K61" s="9" t="n">
        <f aca="false">K$5*(1+A_pore*K$6*($A61/100))/(1-K$6*(1+((1-phimax_pore)/phimax_pore^2)*($A61/100))*($A61/100))</f>
        <v>1.61996022823588</v>
      </c>
      <c r="L61" s="9" t="n">
        <f aca="false">L$5*(1+A_pore*L$6*($A61/100))/(1-L$6*(1+((1-phimax_pore)/phimax_pore^2)*($A61/100))*($A61/100))</f>
        <v>1.62347764125195</v>
      </c>
      <c r="M61" s="9" t="n">
        <f aca="false">M$5*(1+A_pore*M$6*($A61/100))/(1-M$6*(1+((1-phimax_pore)/phimax_pore^2)*($A61/100))*($A61/100))</f>
        <v>1.62706445285703</v>
      </c>
      <c r="N61" s="9" t="n">
        <f aca="false">N$5*(1+A_pore*N$6*($A61/100))/(1-N$6*(1+((1-phimax_pore)/phimax_pore^2)*($A61/100))*($A61/100))</f>
        <v>1.63072295372371</v>
      </c>
      <c r="O61" s="9" t="n">
        <f aca="false">O$5*(1+A_pore*O$6*($A61/100))/(1-O$6*(1+((1-phimax_pore)/phimax_pore^2)*($A61/100))*($A61/100))</f>
        <v>1.63445554445854</v>
      </c>
      <c r="P61" s="9" t="n">
        <f aca="false">P$5*(1+A_pore*P$6*($A61/100))/(1-P$6*(1+((1-phimax_pore)/phimax_pore^2)*($A61/100))*($A61/100))</f>
        <v>1.63826474261697</v>
      </c>
      <c r="Q61" s="9" t="n">
        <f aca="false">Q$5*(1+A_pore*Q$6*($A61/100))/(1-Q$6*(1+((1-phimax_pore)/phimax_pore^2)*($A61/100))*($A61/100))</f>
        <v>1.6421531902787</v>
      </c>
      <c r="R61" s="9" t="n">
        <f aca="false">R$5*(1+A_pore*R$6*($A61/100))/(1-R$6*(1+((1-phimax_pore)/phimax_pore^2)*($A61/100))*($A61/100))</f>
        <v>1.64612366223723</v>
      </c>
      <c r="S61" s="9" t="n">
        <f aca="false">S$5*(1+A_pore*S$6*($A61/100))/(1-S$6*(1+((1-phimax_pore)/phimax_pore^2)*($A61/100))*($A61/100))</f>
        <v>1.65017907486352</v>
      </c>
      <c r="T61" s="9" t="n">
        <f aca="false">T$5*(1+A_pore*T$6*($A61/100))/(1-T$6*(1+((1-phimax_pore)/phimax_pore^2)*($A61/100))*($A61/100))</f>
        <v>1.65432249571033</v>
      </c>
      <c r="U61" s="9" t="n">
        <f aca="false">U$5*(1+A_pore*U$6*($A61/100))/(1-U$6*(1+((1-phimax_pore)/phimax_pore^2)*($A61/100))*($A61/100))</f>
        <v>1.65855715393184</v>
      </c>
      <c r="V61" s="9" t="n">
        <f aca="false">V$5*(1+A_pore*V$6*($A61/100))/(1-V$6*(1+((1-phimax_pore)/phimax_pore^2)*($A61/100))*($A61/100))</f>
        <v>1.66288645160139</v>
      </c>
      <c r="W61" s="9" t="n">
        <f aca="false">W$5*(1+A_pore*W$6*($A61/100))/(1-W$6*(1+((1-phimax_pore)/phimax_pore^2)*($A61/100))*($A61/100))</f>
        <v>1.6673139760206</v>
      </c>
      <c r="X61" s="9" t="n">
        <f aca="false">X$5*(1+A_pore*X$6*($A61/100))/(1-X$6*(1+((1-phimax_pore)/phimax_pore^2)*($A61/100))*($A61/100))</f>
        <v>1.67184351312411</v>
      </c>
      <c r="Y61" s="9" t="n">
        <f aca="false">Y$5*(1+A_pore*Y$6*($A61/100))/(1-Y$6*(1+((1-phimax_pore)/phimax_pore^2)*($A61/100))*($A61/100))</f>
        <v>1.67647906209695</v>
      </c>
      <c r="Z61" s="9" t="n">
        <f aca="false">Z$5*(1+A_pore*Z$6*($A61/100))/(1-Z$6*(1+((1-phimax_pore)/phimax_pore^2)*($A61/100))*($A61/100))</f>
        <v>1.68122485133647</v>
      </c>
      <c r="AA61" s="9" t="n">
        <f aca="false">AA$5*(1+A_pore*AA$6*($A61/100))/(1-AA$6*(1+((1-phimax_pore)/phimax_pore^2)*($A61/100))*($A61/100))</f>
        <v>1.68608535590716</v>
      </c>
      <c r="AB61" s="9" t="n">
        <f aca="false">AB$5*(1+A_pore*AB$6*($A61/100))/(1-AB$6*(1+((1-phimax_pore)/phimax_pore^2)*($A61/100))*($A61/100))</f>
        <v>1.69106531665618</v>
      </c>
      <c r="AC61" s="9" t="n">
        <f aca="false">AC$5*(1+A_pore*AC$6*($A61/100))/(1-AC$6*(1+((1-phimax_pore)/phimax_pore^2)*($A61/100))*($A61/100))</f>
        <v>1.69616976117913</v>
      </c>
      <c r="AD61" s="9" t="n">
        <f aca="false">AD$5*(1+A_pore*AD$6*($A61/100))/(1-AD$6*(1+((1-phimax_pore)/phimax_pore^2)*($A61/100))*($A61/100))</f>
        <v>1.70140402685119</v>
      </c>
      <c r="AE61" s="9" t="n">
        <f aca="false">AE$5*(1+A_pore*AE$6*($A61/100))/(1-AE$6*(1+((1-phimax_pore)/phimax_pore^2)*($A61/100))*($A61/100))</f>
        <v>1.70677378616775</v>
      </c>
      <c r="AF61" s="9" t="n">
        <f aca="false">AF$5*(1+A_pore*AF$6*($A61/100))/(1-AF$6*(1+((1-phimax_pore)/phimax_pore^2)*($A61/100))*($A61/100))</f>
        <v>1.7122850746726</v>
      </c>
      <c r="AG61" s="9" t="n">
        <f aca="false">AG$5*(1+A_pore*AG$6*($A61/100))/(1-AG$6*(1+((1-phimax_pore)/phimax_pore^2)*($A61/100))*($A61/100))</f>
        <v>1.71794432179068</v>
      </c>
      <c r="AH61" s="9" t="n">
        <f aca="false">AH$5*(1+A_pore*AH$6*($A61/100))/(1-AH$6*(1+((1-phimax_pore)/phimax_pore^2)*($A61/100))*($A61/100))</f>
        <v>1.72375838492809</v>
      </c>
      <c r="AI61" s="9" t="n">
        <f aca="false">AI$5*(1+A_pore*AI$6*($A61/100))/(1-AI$6*(1+((1-phimax_pore)/phimax_pore^2)*($A61/100))*($A61/100))</f>
        <v>1.7297345872547</v>
      </c>
      <c r="AJ61" s="9" t="n">
        <f aca="false">AJ$5*(1+A_pore*AJ$6*($A61/100))/(1-AJ$6*(1+((1-phimax_pore)/phimax_pore^2)*($A61/100))*($A61/100))</f>
        <v>1.7358807596467</v>
      </c>
      <c r="AK61" s="9" t="n">
        <f aca="false">AK$5*(1+A_pore*AK$6*($A61/100))/(1-AK$6*(1+((1-phimax_pore)/phimax_pore^2)*($A61/100))*($A61/100))</f>
        <v>1.74220528733876</v>
      </c>
    </row>
    <row r="62" customFormat="false" ht="15" hidden="false" customHeight="false" outlineLevel="0" collapsed="false">
      <c r="A62" s="4" t="n">
        <v>53</v>
      </c>
      <c r="B62" s="9" t="n">
        <f aca="false">B$5*(1+A_pore*B$6*($A62/100))/(1-B$6*(1+((1-phimax_pore)/phimax_pore^2)*($A62/100))*($A62/100))</f>
        <v>1.57302462363042</v>
      </c>
      <c r="C62" s="9" t="n">
        <f aca="false">C$5*(1+A_pore*C$6*($A62/100))/(1-C$6*(1+((1-phimax_pore)/phimax_pore^2)*($A62/100))*($A62/100))</f>
        <v>1.57589400135739</v>
      </c>
      <c r="D62" s="9" t="n">
        <f aca="false">D$5*(1+A_pore*D$6*($A62/100))/(1-D$6*(1+((1-phimax_pore)/phimax_pore^2)*($A62/100))*($A62/100))</f>
        <v>1.5788140983303</v>
      </c>
      <c r="E62" s="9" t="n">
        <f aca="false">E$5*(1+A_pore*E$6*($A62/100))/(1-E$6*(1+((1-phimax_pore)/phimax_pore^2)*($A62/100))*($A62/100))</f>
        <v>1.58178639804594</v>
      </c>
      <c r="F62" s="9" t="n">
        <f aca="false">F$5*(1+A_pore*F$6*($A62/100))/(1-F$6*(1+((1-phimax_pore)/phimax_pore^2)*($A62/100))*($A62/100))</f>
        <v>1.58481244679229</v>
      </c>
      <c r="G62" s="9" t="n">
        <f aca="false">G$5*(1+A_pore*G$6*($A62/100))/(1-G$6*(1+((1-phimax_pore)/phimax_pore^2)*($A62/100))*($A62/100))</f>
        <v>1.58789385718057</v>
      </c>
      <c r="H62" s="9" t="n">
        <f aca="false">H$5*(1+A_pore*H$6*($A62/100))/(1-H$6*(1+((1-phimax_pore)/phimax_pore^2)*($A62/100))*($A62/100))</f>
        <v>1.59103231192628</v>
      </c>
      <c r="I62" s="9" t="n">
        <f aca="false">I$5*(1+A_pore*I$6*($A62/100))/(1-I$6*(1+((1-phimax_pore)/phimax_pore^2)*($A62/100))*($A62/100))</f>
        <v>1.59422956790043</v>
      </c>
      <c r="J62" s="9" t="n">
        <f aca="false">J$5*(1+A_pore*J$6*($A62/100))/(1-J$6*(1+((1-phimax_pore)/phimax_pore^2)*($A62/100))*($A62/100))</f>
        <v>1.59748746047404</v>
      </c>
      <c r="K62" s="9" t="n">
        <f aca="false">K$5*(1+A_pore*K$6*($A62/100))/(1-K$6*(1+((1-phimax_pore)/phimax_pore^2)*($A62/100))*($A62/100))</f>
        <v>1.60080790818166</v>
      </c>
      <c r="L62" s="9" t="n">
        <f aca="false">L$5*(1+A_pore*L$6*($A62/100))/(1-L$6*(1+((1-phimax_pore)/phimax_pore^2)*($A62/100))*($A62/100))</f>
        <v>1.60419291773181</v>
      </c>
      <c r="M62" s="9" t="n">
        <f aca="false">M$5*(1+A_pore*M$6*($A62/100))/(1-M$6*(1+((1-phimax_pore)/phimax_pore^2)*($A62/100))*($A62/100))</f>
        <v>1.60764458939568</v>
      </c>
      <c r="N62" s="9" t="n">
        <f aca="false">N$5*(1+A_pore*N$6*($A62/100))/(1-N$6*(1+((1-phimax_pore)/phimax_pore^2)*($A62/100))*($A62/100))</f>
        <v>1.6111651228082</v>
      </c>
      <c r="O62" s="9" t="n">
        <f aca="false">O$5*(1+A_pore*O$6*($A62/100))/(1-O$6*(1+((1-phimax_pore)/phimax_pore^2)*($A62/100))*($A62/100))</f>
        <v>1.61475682321953</v>
      </c>
      <c r="P62" s="9" t="n">
        <f aca="false">P$5*(1+A_pore*P$6*($A62/100))/(1-P$6*(1+((1-phimax_pore)/phimax_pore^2)*($A62/100))*($A62/100))</f>
        <v>1.61842210823896</v>
      </c>
      <c r="Q62" s="9" t="n">
        <f aca="false">Q$5*(1+A_pore*Q$6*($A62/100))/(1-Q$6*(1+((1-phimax_pore)/phimax_pore^2)*($A62/100))*($A62/100))</f>
        <v>1.62216351511795</v>
      </c>
      <c r="R62" s="9" t="n">
        <f aca="false">R$5*(1+A_pore*R$6*($A62/100))/(1-R$6*(1+((1-phimax_pore)/phimax_pore^2)*($A62/100))*($A62/100))</f>
        <v>1.62598370862398</v>
      </c>
      <c r="S62" s="9" t="n">
        <f aca="false">S$5*(1+A_pore*S$6*($A62/100))/(1-S$6*(1+((1-phimax_pore)/phimax_pore^2)*($A62/100))*($A62/100))</f>
        <v>1.62988548956283</v>
      </c>
      <c r="T62" s="9" t="n">
        <f aca="false">T$5*(1+A_pore*T$6*($A62/100))/(1-T$6*(1+((1-phimax_pore)/phimax_pore^2)*($A62/100))*($A62/100))</f>
        <v>1.63387180401362</v>
      </c>
      <c r="U62" s="9" t="n">
        <f aca="false">U$5*(1+A_pore*U$6*($A62/100))/(1-U$6*(1+((1-phimax_pore)/phimax_pore^2)*($A62/100))*($A62/100))</f>
        <v>1.63794575334793</v>
      </c>
      <c r="V62" s="9" t="n">
        <f aca="false">V$5*(1+A_pore*V$6*($A62/100))/(1-V$6*(1+((1-phimax_pore)/phimax_pore^2)*($A62/100))*($A62/100))</f>
        <v>1.64211060511324</v>
      </c>
      <c r="W62" s="9" t="n">
        <f aca="false">W$5*(1+A_pore*W$6*($A62/100))/(1-W$6*(1+((1-phimax_pore)/phimax_pore^2)*($A62/100))*($A62/100))</f>
        <v>1.64636980487017</v>
      </c>
      <c r="X62" s="9" t="n">
        <f aca="false">X$5*(1+A_pore*X$6*($A62/100))/(1-X$6*(1+((1-phimax_pore)/phimax_pore^2)*($A62/100))*($A62/100))</f>
        <v>1.65072698908378</v>
      </c>
      <c r="Y62" s="9" t="n">
        <f aca="false">Y$5*(1+A_pore*Y$6*($A62/100))/(1-Y$6*(1+((1-phimax_pore)/phimax_pore^2)*($A62/100))*($A62/100))</f>
        <v>1.65518599918184</v>
      </c>
      <c r="Z62" s="9" t="n">
        <f aca="false">Z$5*(1+A_pore*Z$6*($A62/100))/(1-Z$6*(1+((1-phimax_pore)/phimax_pore^2)*($A62/100))*($A62/100))</f>
        <v>1.65975089690679</v>
      </c>
      <c r="AA62" s="9" t="n">
        <f aca="false">AA$5*(1+A_pore*AA$6*($A62/100))/(1-AA$6*(1+((1-phimax_pore)/phimax_pore^2)*($A62/100))*($A62/100))</f>
        <v>1.6644259811043</v>
      </c>
      <c r="AB62" s="9" t="n">
        <f aca="false">AB$5*(1+A_pore*AB$6*($A62/100))/(1-AB$6*(1+((1-phimax_pore)/phimax_pore^2)*($A62/100))*($A62/100))</f>
        <v>1.66921580610999</v>
      </c>
      <c r="AC62" s="9" t="n">
        <f aca="false">AC$5*(1+A_pore*AC$6*($A62/100))/(1-AC$6*(1+((1-phimax_pore)/phimax_pore^2)*($A62/100))*($A62/100))</f>
        <v>1.67412520191661</v>
      </c>
      <c r="AD62" s="9" t="n">
        <f aca="false">AD$5*(1+A_pore*AD$6*($A62/100))/(1-AD$6*(1+((1-phimax_pore)/phimax_pore^2)*($A62/100))*($A62/100))</f>
        <v>1.67915929632897</v>
      </c>
      <c r="AE62" s="9" t="n">
        <f aca="false">AE$5*(1+A_pore*AE$6*($A62/100))/(1-AE$6*(1+((1-phimax_pore)/phimax_pore^2)*($A62/100))*($A62/100))</f>
        <v>1.68432353934145</v>
      </c>
      <c r="AF62" s="9" t="n">
        <f aca="false">AF$5*(1+A_pore*AF$6*($A62/100))/(1-AF$6*(1+((1-phimax_pore)/phimax_pore^2)*($A62/100))*($A62/100))</f>
        <v>1.68962373000591</v>
      </c>
      <c r="AG62" s="9" t="n">
        <f aca="false">AG$5*(1+A_pore*AG$6*($A62/100))/(1-AG$6*(1+((1-phimax_pore)/phimax_pore^2)*($A62/100))*($A62/100))</f>
        <v>1.69506604609515</v>
      </c>
      <c r="AH62" s="9" t="n">
        <f aca="false">AH$5*(1+A_pore*AH$6*($A62/100))/(1-AH$6*(1+((1-phimax_pore)/phimax_pore^2)*($A62/100))*($A62/100))</f>
        <v>1.7006570769109</v>
      </c>
      <c r="AI62" s="9" t="n">
        <f aca="false">AI$5*(1+A_pore*AI$6*($A62/100))/(1-AI$6*(1+((1-phimax_pore)/phimax_pore^2)*($A62/100))*($A62/100))</f>
        <v>1.70640385963659</v>
      </c>
      <c r="AJ62" s="9" t="n">
        <f aca="false">AJ$5*(1+A_pore*AJ$6*($A62/100))/(1-AJ$6*(1+((1-phimax_pore)/phimax_pore^2)*($A62/100))*($A62/100))</f>
        <v>1.71231391969408</v>
      </c>
      <c r="AK62" s="9" t="n">
        <f aca="false">AK$5*(1+A_pore*AK$6*($A62/100))/(1-AK$6*(1+((1-phimax_pore)/phimax_pore^2)*($A62/100))*($A62/100))</f>
        <v>1.7183953156338</v>
      </c>
    </row>
    <row r="63" customFormat="false" ht="15" hidden="false" customHeight="false" outlineLevel="0" collapsed="false">
      <c r="A63" s="4" t="n">
        <v>54</v>
      </c>
      <c r="B63" s="9" t="n">
        <f aca="false">B$5*(1+A_pore*B$6*($A63/100))/(1-B$6*(1+((1-phimax_pore)/phimax_pore^2)*($A63/100))*($A63/100))</f>
        <v>1.55529721430138</v>
      </c>
      <c r="C63" s="9" t="n">
        <f aca="false">C$5*(1+A_pore*C$6*($A63/100))/(1-C$6*(1+((1-phimax_pore)/phimax_pore^2)*($A63/100))*($A63/100))</f>
        <v>1.55805868622049</v>
      </c>
      <c r="D63" s="9" t="n">
        <f aca="false">D$5*(1+A_pore*D$6*($A63/100))/(1-D$6*(1+((1-phimax_pore)/phimax_pore^2)*($A63/100))*($A63/100))</f>
        <v>1.56086887307972</v>
      </c>
      <c r="E63" s="9" t="n">
        <f aca="false">E$5*(1+A_pore*E$6*($A63/100))/(1-E$6*(1+((1-phimax_pore)/phimax_pore^2)*($A63/100))*($A63/100))</f>
        <v>1.56372919897305</v>
      </c>
      <c r="F63" s="9" t="n">
        <f aca="false">F$5*(1+A_pore*F$6*($A63/100))/(1-F$6*(1+((1-phimax_pore)/phimax_pore^2)*($A63/100))*($A63/100))</f>
        <v>1.56664114829067</v>
      </c>
      <c r="G63" s="9" t="n">
        <f aca="false">G$5*(1+A_pore*G$6*($A63/100))/(1-G$6*(1+((1-phimax_pore)/phimax_pore^2)*($A63/100))*($A63/100))</f>
        <v>1.56960626911286</v>
      </c>
      <c r="H63" s="9" t="n">
        <f aca="false">H$5*(1+A_pore*H$6*($A63/100))/(1-H$6*(1+((1-phimax_pore)/phimax_pore^2)*($A63/100))*($A63/100))</f>
        <v>1.57262617684328</v>
      </c>
      <c r="I63" s="9" t="n">
        <f aca="false">I$5*(1+A_pore*I$6*($A63/100))/(1-I$6*(1+((1-phimax_pore)/phimax_pore^2)*($A63/100))*($A63/100))</f>
        <v>1.57570255810199</v>
      </c>
      <c r="J63" s="9" t="n">
        <f aca="false">J$5*(1+A_pore*J$6*($A63/100))/(1-J$6*(1+((1-phimax_pore)/phimax_pore^2)*($A63/100))*($A63/100))</f>
        <v>1.57883717490049</v>
      </c>
      <c r="K63" s="9" t="n">
        <f aca="false">K$5*(1+A_pore*K$6*($A63/100))/(1-K$6*(1+((1-phimax_pore)/phimax_pore^2)*($A63/100))*($A63/100))</f>
        <v>1.5820318691235</v>
      </c>
      <c r="L63" s="9" t="n">
        <f aca="false">L$5*(1+A_pore*L$6*($A63/100))/(1-L$6*(1+((1-phimax_pore)/phimax_pore^2)*($A63/100))*($A63/100))</f>
        <v>1.58528856734441</v>
      </c>
      <c r="M63" s="9" t="n">
        <f aca="false">M$5*(1+A_pore*M$6*($A63/100))/(1-M$6*(1+((1-phimax_pore)/phimax_pore^2)*($A63/100))*($A63/100))</f>
        <v>1.5886092860044</v>
      </c>
      <c r="N63" s="9" t="n">
        <f aca="false">N$5*(1+A_pore*N$6*($A63/100))/(1-N$6*(1+((1-phimax_pore)/phimax_pore^2)*($A63/100))*($A63/100))</f>
        <v>1.59199613698818</v>
      </c>
      <c r="O63" s="9" t="n">
        <f aca="false">O$5*(1+A_pore*O$6*($A63/100))/(1-O$6*(1+((1-phimax_pore)/phimax_pore^2)*($A63/100))*($A63/100))</f>
        <v>1.59545133363293</v>
      </c>
      <c r="P63" s="9" t="n">
        <f aca="false">P$5*(1+A_pore*P$6*($A63/100))/(1-P$6*(1+((1-phimax_pore)/phimax_pore^2)*($A63/100))*($A63/100))</f>
        <v>1.59897719721075</v>
      </c>
      <c r="Q63" s="9" t="n">
        <f aca="false">Q$5*(1+A_pore*Q$6*($A63/100))/(1-Q$6*(1+((1-phimax_pore)/phimax_pore^2)*($A63/100))*($A63/100))</f>
        <v>1.60257616392973</v>
      </c>
      <c r="R63" s="9" t="n">
        <f aca="false">R$5*(1+A_pore*R$6*($A63/100))/(1-R$6*(1+((1-phimax_pore)/phimax_pore^2)*($A63/100))*($A63/100))</f>
        <v>1.60625079250322</v>
      </c>
      <c r="S63" s="9" t="n">
        <f aca="false">S$5*(1+A_pore*S$6*($A63/100))/(1-S$6*(1+((1-phimax_pore)/phimax_pore^2)*($A63/100))*($A63/100))</f>
        <v>1.61000377234288</v>
      </c>
      <c r="T63" s="9" t="n">
        <f aca="false">T$5*(1+A_pore*T$6*($A63/100))/(1-T$6*(1+((1-phimax_pore)/phimax_pore^2)*($A63/100))*($A63/100))</f>
        <v>1.61383793243718</v>
      </c>
      <c r="U63" s="9" t="n">
        <f aca="false">U$5*(1+A_pore*U$6*($A63/100))/(1-U$6*(1+((1-phimax_pore)/phimax_pore^2)*($A63/100))*($A63/100))</f>
        <v>1.61775625098435</v>
      </c>
      <c r="V63" s="9" t="n">
        <f aca="false">V$5*(1+A_pore*V$6*($A63/100))/(1-V$6*(1+((1-phimax_pore)/phimax_pore^2)*($A63/100))*($A63/100))</f>
        <v>1.62176186585661</v>
      </c>
      <c r="W63" s="9" t="n">
        <f aca="false">W$5*(1+A_pore*W$6*($A63/100))/(1-W$6*(1+((1-phimax_pore)/phimax_pore^2)*($A63/100))*($A63/100))</f>
        <v>1.62585808598197</v>
      </c>
      <c r="X63" s="9" t="n">
        <f aca="false">X$5*(1+A_pore*X$6*($A63/100))/(1-X$6*(1+((1-phimax_pore)/phimax_pore^2)*($A63/100))*($A63/100))</f>
        <v>1.63004840374022</v>
      </c>
      <c r="Y63" s="9" t="n">
        <f aca="false">Y$5*(1+A_pore*Y$6*($A63/100))/(1-Y$6*(1+((1-phimax_pore)/phimax_pore^2)*($A63/100))*($A63/100))</f>
        <v>1.6343365084814</v>
      </c>
      <c r="Z63" s="9" t="n">
        <f aca="false">Z$5*(1+A_pore*Z$6*($A63/100))/(1-Z$6*(1+((1-phimax_pore)/phimax_pore^2)*($A63/100))*($A63/100))</f>
        <v>1.63872630128912</v>
      </c>
      <c r="AA63" s="9" t="n">
        <f aca="false">AA$5*(1+A_pore*AA$6*($A63/100))/(1-AA$6*(1+((1-phimax_pore)/phimax_pore^2)*($A63/100))*($A63/100))</f>
        <v>1.64322191112598</v>
      </c>
      <c r="AB63" s="9" t="n">
        <f aca="false">AB$5*(1+A_pore*AB$6*($A63/100))/(1-AB$6*(1+((1-phimax_pore)/phimax_pore^2)*($A63/100))*($A63/100))</f>
        <v>1.64782771251663</v>
      </c>
      <c r="AC63" s="9" t="n">
        <f aca="false">AC$5*(1+A_pore*AC$6*($A63/100))/(1-AC$6*(1+((1-phimax_pore)/phimax_pore^2)*($A63/100))*($A63/100))</f>
        <v>1.65254834494414</v>
      </c>
      <c r="AD63" s="9" t="n">
        <f aca="false">AD$5*(1+A_pore*AD$6*($A63/100))/(1-AD$6*(1+((1-phimax_pore)/phimax_pore^2)*($A63/100))*($A63/100))</f>
        <v>1.65738873415885</v>
      </c>
      <c r="AE63" s="9" t="n">
        <f aca="false">AE$5*(1+A_pore*AE$6*($A63/100))/(1-AE$6*(1+((1-phimax_pore)/phimax_pore^2)*($A63/100))*($A63/100))</f>
        <v>1.66235411562601</v>
      </c>
      <c r="AF63" s="9" t="n">
        <f aca="false">AF$5*(1+A_pore*AF$6*($A63/100))/(1-AF$6*(1+((1-phimax_pore)/phimax_pore^2)*($A63/100))*($A63/100))</f>
        <v>1.66745006036979</v>
      </c>
      <c r="AG63" s="9" t="n">
        <f aca="false">AG$5*(1+A_pore*AG$6*($A63/100))/(1-AG$6*(1+((1-phimax_pore)/phimax_pore^2)*($A63/100))*($A63/100))</f>
        <v>1.67268250350752</v>
      </c>
      <c r="AH63" s="9" t="n">
        <f aca="false">AH$5*(1+A_pore*AH$6*($A63/100))/(1-AH$6*(1+((1-phimax_pore)/phimax_pore^2)*($A63/100))*($A63/100))</f>
        <v>1.67805777581007</v>
      </c>
      <c r="AI63" s="9" t="n">
        <f aca="false">AI$5*(1+A_pore*AI$6*($A63/100))/(1-AI$6*(1+((1-phimax_pore)/phimax_pore^2)*($A63/100))*($A63/100))</f>
        <v>1.68358263867345</v>
      </c>
      <c r="AJ63" s="9" t="n">
        <f aca="false">AJ$5*(1+A_pore*AJ$6*($A63/100))/(1-AJ$6*(1+((1-phimax_pore)/phimax_pore^2)*($A63/100))*($A63/100))</f>
        <v>1.68926432294389</v>
      </c>
      <c r="AK63" s="9" t="n">
        <f aca="false">AK$5*(1+A_pore*AK$6*($A63/100))/(1-AK$6*(1+((1-phimax_pore)/phimax_pore^2)*($A63/100))*($A63/100))</f>
        <v>1.69511057210587</v>
      </c>
    </row>
    <row r="64" customFormat="false" ht="15" hidden="false" customHeight="false" outlineLevel="0" collapsed="false">
      <c r="A64" s="4" t="n">
        <v>55</v>
      </c>
      <c r="B64" s="9" t="n">
        <f aca="false">B$5*(1+A_pore*B$6*($A64/100))/(1-B$6*(1+((1-phimax_pore)/phimax_pore^2)*($A64/100))*($A64/100))</f>
        <v>1.53790337537092</v>
      </c>
      <c r="C64" s="9" t="n">
        <f aca="false">C$5*(1+A_pore*C$6*($A64/100))/(1-C$6*(1+((1-phimax_pore)/phimax_pore^2)*($A64/100))*($A64/100))</f>
        <v>1.54056017669982</v>
      </c>
      <c r="D64" s="9" t="n">
        <f aca="false">D$5*(1+A_pore*D$6*($A64/100))/(1-D$6*(1+((1-phimax_pore)/phimax_pore^2)*($A64/100))*($A64/100))</f>
        <v>1.54326375646628</v>
      </c>
      <c r="E64" s="9" t="n">
        <f aca="false">E$5*(1+A_pore*E$6*($A64/100))/(1-E$6*(1+((1-phimax_pore)/phimax_pore^2)*($A64/100))*($A64/100))</f>
        <v>1.54601548147535</v>
      </c>
      <c r="F64" s="9" t="n">
        <f aca="false">F$5*(1+A_pore*F$6*($A64/100))/(1-F$6*(1+((1-phimax_pore)/phimax_pore^2)*($A64/100))*($A64/100))</f>
        <v>1.54881677642285</v>
      </c>
      <c r="G64" s="9" t="n">
        <f aca="false">G$5*(1+A_pore*G$6*($A64/100))/(1-G$6*(1+((1-phimax_pore)/phimax_pore^2)*($A64/100))*($A64/100))</f>
        <v>1.55166912715593</v>
      </c>
      <c r="H64" s="9" t="n">
        <f aca="false">H$5*(1+A_pore*H$6*($A64/100))/(1-H$6*(1+((1-phimax_pore)/phimax_pore^2)*($A64/100))*($A64/100))</f>
        <v>1.55457408416381</v>
      </c>
      <c r="I64" s="9" t="n">
        <f aca="false">I$5*(1+A_pore*I$6*($A64/100))/(1-I$6*(1+((1-phimax_pore)/phimax_pore^2)*($A64/100))*($A64/100))</f>
        <v>1.55753326631815</v>
      </c>
      <c r="J64" s="9" t="n">
        <f aca="false">J$5*(1+A_pore*J$6*($A64/100))/(1-J$6*(1+((1-phimax_pore)/phimax_pore^2)*($A64/100))*($A64/100))</f>
        <v>1.56054836488464</v>
      </c>
      <c r="K64" s="9" t="n">
        <f aca="false">K$5*(1+A_pore*K$6*($A64/100))/(1-K$6*(1+((1-phimax_pore)/phimax_pore^2)*($A64/100))*($A64/100))</f>
        <v>1.56362114782941</v>
      </c>
      <c r="L64" s="9" t="n">
        <f aca="false">L$5*(1+A_pore*L$6*($A64/100))/(1-L$6*(1+((1-phimax_pore)/phimax_pore^2)*($A64/100))*($A64/100))</f>
        <v>1.56675346444633</v>
      </c>
      <c r="M64" s="9" t="n">
        <f aca="false">M$5*(1+A_pore*M$6*($A64/100))/(1-M$6*(1+((1-phimax_pore)/phimax_pore^2)*($A64/100))*($A64/100))</f>
        <v>1.56994725033388</v>
      </c>
      <c r="N64" s="9" t="n">
        <f aca="false">N$5*(1+A_pore*N$6*($A64/100))/(1-N$6*(1+((1-phimax_pore)/phimax_pore^2)*($A64/100))*($A64/100))</f>
        <v>1.57320453275349</v>
      </c>
      <c r="O64" s="9" t="n">
        <f aca="false">O$5*(1+A_pore*O$6*($A64/100))/(1-O$6*(1+((1-phimax_pore)/phimax_pore^2)*($A64/100))*($A64/100))</f>
        <v>1.57652743640429</v>
      </c>
      <c r="P64" s="9" t="n">
        <f aca="false">P$5*(1+A_pore*P$6*($A64/100))/(1-P$6*(1+((1-phimax_pore)/phimax_pore^2)*($A64/100))*($A64/100))</f>
        <v>1.57991818965336</v>
      </c>
      <c r="Q64" s="9" t="n">
        <f aca="false">Q$5*(1+A_pore*Q$6*($A64/100))/(1-Q$6*(1+((1-phimax_pore)/phimax_pore^2)*($A64/100))*($A64/100))</f>
        <v>1.58337913126456</v>
      </c>
      <c r="R64" s="9" t="n">
        <f aca="false">R$5*(1+A_pore*R$6*($A64/100))/(1-R$6*(1+((1-phimax_pore)/phimax_pore^2)*($A64/100))*($A64/100))</f>
        <v>1.5869127176738</v>
      </c>
      <c r="S64" s="9" t="n">
        <f aca="false">S$5*(1+A_pore*S$6*($A64/100))/(1-S$6*(1+((1-phimax_pore)/phimax_pore^2)*($A64/100))*($A64/100))</f>
        <v>1.59052153086426</v>
      </c>
      <c r="T64" s="9" t="n">
        <f aca="false">T$5*(1+A_pore*T$6*($A64/100))/(1-T$6*(1+((1-phimax_pore)/phimax_pore^2)*($A64/100))*($A64/100))</f>
        <v>1.59420828690081</v>
      </c>
      <c r="U64" s="9" t="n">
        <f aca="false">U$5*(1+A_pore*U$6*($A64/100))/(1-U$6*(1+((1-phimax_pore)/phimax_pore^2)*($A64/100))*($A64/100))</f>
        <v>1.59797584518995</v>
      </c>
      <c r="V64" s="9" t="n">
        <f aca="false">V$5*(1+A_pore*V$6*($A64/100))/(1-V$6*(1+((1-phimax_pore)/phimax_pore^2)*($A64/100))*($A64/100))</f>
        <v>1.60182721853938</v>
      </c>
      <c r="W64" s="9" t="n">
        <f aca="false">W$5*(1+A_pore*W$6*($A64/100))/(1-W$6*(1+((1-phimax_pore)/phimax_pore^2)*($A64/100))*($A64/100))</f>
        <v>1.60576558410011</v>
      </c>
      <c r="X64" s="9" t="n">
        <f aca="false">X$5*(1+A_pore*X$6*($A64/100))/(1-X$6*(1+((1-phimax_pore)/phimax_pore^2)*($A64/100))*($A64/100))</f>
        <v>1.60979429528393</v>
      </c>
      <c r="Y64" s="9" t="n">
        <f aca="false">Y$5*(1+A_pore*Y$6*($A64/100))/(1-Y$6*(1+((1-phimax_pore)/phimax_pore^2)*($A64/100))*($A64/100))</f>
        <v>1.61391689476083</v>
      </c>
      <c r="Z64" s="9" t="n">
        <f aca="false">Z$5*(1+A_pore*Z$6*($A64/100))/(1-Z$6*(1+((1-phimax_pore)/phimax_pore^2)*($A64/100))*($A64/100))</f>
        <v>1.61813712865365</v>
      </c>
      <c r="AA64" s="9" t="n">
        <f aca="false">AA$5*(1+A_pore*AA$6*($A64/100))/(1-AA$6*(1+((1-phimax_pore)/phimax_pore^2)*($A64/100))*($A64/100))</f>
        <v>1.62245896206237</v>
      </c>
      <c r="AB64" s="9" t="n">
        <f aca="false">AB$5*(1+A_pore*AB$6*($A64/100))/(1-AB$6*(1+((1-phimax_pore)/phimax_pore^2)*($A64/100))*($A64/100))</f>
        <v>1.62688659606758</v>
      </c>
      <c r="AC64" s="9" t="n">
        <f aca="false">AC$5*(1+A_pore*AC$6*($A64/100))/(1-AC$6*(1+((1-phimax_pore)/phimax_pore^2)*($A64/100))*($A64/100))</f>
        <v>1.63142448638208</v>
      </c>
      <c r="AD64" s="9" t="n">
        <f aca="false">AD$5*(1+A_pore*AD$6*($A64/100))/(1-AD$6*(1+((1-phimax_pore)/phimax_pore^2)*($A64/100))*($A64/100))</f>
        <v>1.63607736384248</v>
      </c>
      <c r="AE64" s="9" t="n">
        <f aca="false">AE$5*(1+A_pore*AE$6*($A64/100))/(1-AE$6*(1+((1-phimax_pore)/phimax_pore^2)*($A64/100))*($A64/100))</f>
        <v>1.64085025695844</v>
      </c>
      <c r="AF64" s="9" t="n">
        <f aca="false">AF$5*(1+A_pore*AF$6*($A64/100))/(1-AF$6*(1+((1-phimax_pore)/phimax_pore^2)*($A64/100))*($A64/100))</f>
        <v>1.64574851676739</v>
      </c>
      <c r="AG64" s="9" t="n">
        <f aca="false">AG$5*(1+A_pore*AG$6*($A64/100))/(1-AG$6*(1+((1-phimax_pore)/phimax_pore^2)*($A64/100))*($A64/100))</f>
        <v>1.65077784427766</v>
      </c>
      <c r="AH64" s="9" t="n">
        <f aca="false">AH$5*(1+A_pore*AH$6*($A64/100))/(1-AH$6*(1+((1-phimax_pore)/phimax_pore^2)*($A64/100))*($A64/100))</f>
        <v>1.6559443208232</v>
      </c>
      <c r="AI64" s="9" t="n">
        <f aca="false">AI$5*(1+A_pore*AI$6*($A64/100))/(1-AI$6*(1+((1-phimax_pore)/phimax_pore^2)*($A64/100))*($A64/100))</f>
        <v>1.66125444170046</v>
      </c>
      <c r="AJ64" s="9" t="n">
        <f aca="false">AJ$5*(1+A_pore*AJ$6*($A64/100))/(1-AJ$6*(1+((1-phimax_pore)/phimax_pore^2)*($A64/100))*($A64/100))</f>
        <v>1.66671515351314</v>
      </c>
      <c r="AK64" s="9" t="n">
        <f aca="false">AK$5*(1+A_pore*AK$6*($A64/100))/(1-AK$6*(1+((1-phimax_pore)/phimax_pore^2)*($A64/100))*($A64/100))</f>
        <v>1.67233389571507</v>
      </c>
    </row>
    <row r="65" customFormat="false" ht="15" hidden="false" customHeight="false" outlineLevel="0" collapsed="false">
      <c r="A65" s="4" t="n">
        <v>56</v>
      </c>
      <c r="B65" s="9" t="n">
        <f aca="false">B$5*(1+A_pore*B$6*($A65/100))/(1-B$6*(1+((1-phimax_pore)/phimax_pore^2)*($A65/100))*($A65/100))</f>
        <v>1.52083379515264</v>
      </c>
      <c r="C65" s="9" t="n">
        <f aca="false">C$5*(1+A_pore*C$6*($A65/100))/(1-C$6*(1+((1-phimax_pore)/phimax_pore^2)*($A65/100))*($A65/100))</f>
        <v>1.523389037355</v>
      </c>
      <c r="D65" s="9" t="n">
        <f aca="false">D$5*(1+A_pore*D$6*($A65/100))/(1-D$6*(1+((1-phimax_pore)/phimax_pore^2)*($A65/100))*($A65/100))</f>
        <v>1.52598918632515</v>
      </c>
      <c r="E65" s="9" t="n">
        <f aca="false">E$5*(1+A_pore*E$6*($A65/100))/(1-E$6*(1+((1-phimax_pore)/phimax_pore^2)*($A65/100))*($A65/100))</f>
        <v>1.52863555359265</v>
      </c>
      <c r="F65" s="9" t="n">
        <f aca="false">F$5*(1+A_pore*F$6*($A65/100))/(1-F$6*(1+((1-phimax_pore)/phimax_pore^2)*($A65/100))*($A65/100))</f>
        <v>1.53132950625748</v>
      </c>
      <c r="G65" s="9" t="n">
        <f aca="false">G$5*(1+A_pore*G$6*($A65/100))/(1-G$6*(1+((1-phimax_pore)/phimax_pore^2)*($A65/100))*($A65/100))</f>
        <v>1.53407247012185</v>
      </c>
      <c r="H65" s="9" t="n">
        <f aca="false">H$5*(1+A_pore*H$6*($A65/100))/(1-H$6*(1+((1-phimax_pore)/phimax_pore^2)*($A65/100))*($A65/100))</f>
        <v>1.53686593304339</v>
      </c>
      <c r="I65" s="9" t="n">
        <f aca="false">I$5*(1+A_pore*I$6*($A65/100))/(1-I$6*(1+((1-phimax_pore)/phimax_pore^2)*($A65/100))*($A65/100))</f>
        <v>1.53971144852816</v>
      </c>
      <c r="J65" s="9" t="n">
        <f aca="false">J$5*(1+A_pore*J$6*($A65/100))/(1-J$6*(1+((1-phimax_pore)/phimax_pore^2)*($A65/100))*($A65/100))</f>
        <v>1.54261063958444</v>
      </c>
      <c r="K65" s="9" t="n">
        <f aca="false">K$5*(1+A_pore*K$6*($A65/100))/(1-K$6*(1+((1-phimax_pore)/phimax_pore^2)*($A65/100))*($A65/100))</f>
        <v>1.54556520285985</v>
      </c>
      <c r="L65" s="9" t="n">
        <f aca="false">L$5*(1+A_pore*L$6*($A65/100))/(1-L$6*(1+((1-phimax_pore)/phimax_pore^2)*($A65/100))*($A65/100))</f>
        <v>1.54857691308695</v>
      </c>
      <c r="M65" s="9" t="n">
        <f aca="false">M$5*(1+A_pore*M$6*($A65/100))/(1-M$6*(1+((1-phimax_pore)/phimax_pore^2)*($A65/100))*($A65/100))</f>
        <v>1.55164762786492</v>
      </c>
      <c r="N65" s="9" t="n">
        <f aca="false">N$5*(1+A_pore*N$6*($A65/100))/(1-N$6*(1+((1-phimax_pore)/phimax_pore^2)*($A65/100))*($A65/100))</f>
        <v>1.55477929280787</v>
      </c>
      <c r="O65" s="9" t="n">
        <f aca="false">O$5*(1+A_pore*O$6*($A65/100))/(1-O$6*(1+((1-phimax_pore)/phimax_pore^2)*($A65/100))*($A65/100))</f>
        <v>1.55797394709358</v>
      </c>
      <c r="P65" s="9" t="n">
        <f aca="false">P$5*(1+A_pore*P$6*($A65/100))/(1-P$6*(1+((1-phimax_pore)/phimax_pore^2)*($A65/100))*($A65/100))</f>
        <v>1.56123372945009</v>
      </c>
      <c r="Q65" s="9" t="n">
        <f aca="false">Q$5*(1+A_pore*Q$6*($A65/100))/(1-Q$6*(1+((1-phimax_pore)/phimax_pore^2)*($A65/100))*($A65/100))</f>
        <v>1.56456088462162</v>
      </c>
      <c r="R65" s="9" t="n">
        <f aca="false">R$5*(1+A_pore*R$6*($A65/100))/(1-R$6*(1+((1-phimax_pore)/phimax_pore^2)*($A65/100))*($A65/100))</f>
        <v>1.56795777035995</v>
      </c>
      <c r="S65" s="9" t="n">
        <f aca="false">S$5*(1+A_pore*S$6*($A65/100))/(1-S$6*(1+((1-phimax_pore)/phimax_pore^2)*($A65/100))*($A65/100))</f>
        <v>1.57142686499262</v>
      </c>
      <c r="T65" s="9" t="n">
        <f aca="false">T$5*(1+A_pore*T$6*($A65/100))/(1-T$6*(1+((1-phimax_pore)/phimax_pore^2)*($A65/100))*($A65/100))</f>
        <v>1.57497077562493</v>
      </c>
      <c r="U65" s="9" t="n">
        <f aca="false">U$5*(1+A_pore*U$6*($A65/100))/(1-U$6*(1+((1-phimax_pore)/phimax_pore^2)*($A65/100))*($A65/100))</f>
        <v>1.57859224703963</v>
      </c>
      <c r="V65" s="9" t="n">
        <f aca="false">V$5*(1+A_pore*V$6*($A65/100))/(1-V$6*(1+((1-phimax_pore)/phimax_pore^2)*($A65/100))*($A65/100))</f>
        <v>1.58229417136553</v>
      </c>
      <c r="W65" s="9" t="n">
        <f aca="false">W$5*(1+A_pore*W$6*($A65/100))/(1-W$6*(1+((1-phimax_pore)/phimax_pore^2)*($A65/100))*($A65/100))</f>
        <v>1.58607959859473</v>
      </c>
      <c r="X65" s="9" t="n">
        <f aca="false">X$5*(1+A_pore*X$6*($A65/100))/(1-X$6*(1+((1-phimax_pore)/phimax_pore^2)*($A65/100))*($A65/100))</f>
        <v>1.58995174803789</v>
      </c>
      <c r="Y65" s="9" t="n">
        <f aca="false">Y$5*(1+A_pore*Y$6*($A65/100))/(1-Y$6*(1+((1-phimax_pore)/phimax_pore^2)*($A65/100))*($A65/100))</f>
        <v>1.593914020818</v>
      </c>
      <c r="Z65" s="9" t="n">
        <f aca="false">Z$5*(1+A_pore*Z$6*($A65/100))/(1-Z$6*(1+((1-phimax_pore)/phimax_pore^2)*($A65/100))*($A65/100))</f>
        <v>1.59797001351562</v>
      </c>
      <c r="AA65" s="9" t="n">
        <f aca="false">AA$5*(1+A_pore*AA$6*($A65/100))/(1-AA$6*(1+((1-phimax_pore)/phimax_pore^2)*($A65/100))*($A65/100))</f>
        <v>1.60212353309284</v>
      </c>
      <c r="AB65" s="9" t="n">
        <f aca="false">AB$5*(1+A_pore*AB$6*($A65/100))/(1-AB$6*(1+((1-phimax_pore)/phimax_pore^2)*($A65/100))*($A65/100))</f>
        <v>1.60637861323992</v>
      </c>
      <c r="AC65" s="9" t="n">
        <f aca="false">AC$5*(1+A_pore*AC$6*($A65/100))/(1-AC$6*(1+((1-phimax_pore)/phimax_pore^2)*($A65/100))*($A65/100))</f>
        <v>1.61073953230714</v>
      </c>
      <c r="AD65" s="9" t="n">
        <f aca="false">AD$5*(1+A_pore*AD$6*($A65/100))/(1-AD$6*(1+((1-phimax_pore)/phimax_pore^2)*($A65/100))*($A65/100))</f>
        <v>1.61521083300631</v>
      </c>
      <c r="AE65" s="9" t="n">
        <f aca="false">AE$5*(1+A_pore*AE$6*($A65/100))/(1-AE$6*(1+((1-phimax_pore)/phimax_pore^2)*($A65/100))*($A65/100))</f>
        <v>1.61979734409157</v>
      </c>
      <c r="AF65" s="9" t="n">
        <f aca="false">AF$5*(1+A_pore*AF$6*($A65/100))/(1-AF$6*(1+((1-phimax_pore)/phimax_pore^2)*($A65/100))*($A65/100))</f>
        <v>1.62450420425777</v>
      </c>
      <c r="AG65" s="9" t="n">
        <f aca="false">AG$5*(1+A_pore*AG$6*($A65/100))/(1-AG$6*(1+((1-phimax_pore)/phimax_pore^2)*($A65/100))*($A65/100))</f>
        <v>1.62933688852865</v>
      </c>
      <c r="AH65" s="9" t="n">
        <f aca="false">AH$5*(1+A_pore*AH$6*($A65/100))/(1-AH$6*(1+((1-phimax_pore)/phimax_pore^2)*($A65/100))*($A65/100))</f>
        <v>1.63430123744576</v>
      </c>
      <c r="AI65" s="9" t="n">
        <f aca="false">AI$5*(1+A_pore*AI$6*($A65/100))/(1-AI$6*(1+((1-phimax_pore)/phimax_pore^2)*($A65/100))*($A65/100))</f>
        <v>1.63940348941481</v>
      </c>
      <c r="AJ65" s="9" t="n">
        <f aca="false">AJ$5*(1+A_pore*AJ$6*($A65/100))/(1-AJ$6*(1+((1-phimax_pore)/phimax_pore^2)*($A65/100))*($A65/100))</f>
        <v>1.6446503166189</v>
      </c>
      <c r="AK65" s="9" t="n">
        <f aca="false">AK$5*(1+A_pore*AK$6*($A65/100))/(1-AK$6*(1+((1-phimax_pore)/phimax_pore^2)*($A65/100))*($A65/100))</f>
        <v>1.65004886497033</v>
      </c>
    </row>
    <row r="66" customFormat="false" ht="15" hidden="false" customHeight="false" outlineLevel="0" collapsed="false">
      <c r="A66" s="4" t="n">
        <v>57</v>
      </c>
      <c r="B66" s="9" t="n">
        <f aca="false">B$5*(1+A_pore*B$6*($A66/100))/(1-B$6*(1+((1-phimax_pore)/phimax_pore^2)*($A66/100))*($A66/100))</f>
        <v>1.50407950534221</v>
      </c>
      <c r="C66" s="9" t="n">
        <f aca="false">C$5*(1+A_pore*C$6*($A66/100))/(1-C$6*(1+((1-phimax_pore)/phimax_pore^2)*($A66/100))*($A66/100))</f>
        <v>1.50653618191753</v>
      </c>
      <c r="D66" s="9" t="n">
        <f aca="false">D$5*(1+A_pore*D$6*($A66/100))/(1-D$6*(1+((1-phimax_pore)/phimax_pore^2)*($A66/100))*($A66/100))</f>
        <v>1.50903595561108</v>
      </c>
      <c r="E66" s="9" t="n">
        <f aca="false">E$5*(1+A_pore*E$6*($A66/100))/(1-E$6*(1+((1-phimax_pore)/phimax_pore^2)*($A66/100))*($A66/100))</f>
        <v>1.51158008459581</v>
      </c>
      <c r="F66" s="9" t="n">
        <f aca="false">F$5*(1+A_pore*F$6*($A66/100))/(1-F$6*(1+((1-phimax_pore)/phimax_pore^2)*($A66/100))*($A66/100))</f>
        <v>1.51416988037551</v>
      </c>
      <c r="G66" s="9" t="n">
        <f aca="false">G$5*(1+A_pore*G$6*($A66/100))/(1-G$6*(1+((1-phimax_pore)/phimax_pore^2)*($A66/100))*($A66/100))</f>
        <v>1.51680671079251</v>
      </c>
      <c r="H66" s="9" t="n">
        <f aca="false">H$5*(1+A_pore*H$6*($A66/100))/(1-H$6*(1+((1-phimax_pore)/phimax_pore^2)*($A66/100))*($A66/100))</f>
        <v>1.51949200324782</v>
      </c>
      <c r="I66" s="9" t="n">
        <f aca="false">I$5*(1+A_pore*I$6*($A66/100))/(1-I$6*(1+((1-phimax_pore)/phimax_pore^2)*($A66/100))*($A66/100))</f>
        <v>1.52222724815193</v>
      </c>
      <c r="J66" s="9" t="n">
        <f aca="false">J$5*(1+A_pore*J$6*($A66/100))/(1-J$6*(1+((1-phimax_pore)/phimax_pore^2)*($A66/100))*($A66/100))</f>
        <v>1.52501400262616</v>
      </c>
      <c r="K66" s="9" t="n">
        <f aca="false">K$5*(1+A_pore*K$6*($A66/100))/(1-K$6*(1+((1-phimax_pore)/phimax_pore^2)*($A66/100))*($A66/100))</f>
        <v>1.52785389447624</v>
      </c>
      <c r="L66" s="9" t="n">
        <f aca="false">L$5*(1+A_pore*L$6*($A66/100))/(1-L$6*(1+((1-phimax_pore)/phimax_pore^2)*($A66/100))*($A66/100))</f>
        <v>1.53074862646241</v>
      </c>
      <c r="M66" s="9" t="n">
        <f aca="false">M$5*(1+A_pore*M$6*($A66/100))/(1-M$6*(1+((1-phimax_pore)/phimax_pore^2)*($A66/100))*($A66/100))</f>
        <v>1.53369998089247</v>
      </c>
      <c r="N66" s="9" t="n">
        <f aca="false">N$5*(1+A_pore*N$6*($A66/100))/(1-N$6*(1+((1-phimax_pore)/phimax_pore^2)*($A66/100))*($A66/100))</f>
        <v>1.53670982456727</v>
      </c>
      <c r="O66" s="9" t="n">
        <f aca="false">O$5*(1+A_pore*O$6*($A66/100))/(1-O$6*(1+((1-phimax_pore)/phimax_pore^2)*($A66/100))*($A66/100))</f>
        <v>1.539780114111</v>
      </c>
      <c r="P66" s="9" t="n">
        <f aca="false">P$5*(1+A_pore*P$6*($A66/100))/(1-P$6*(1+((1-phimax_pore)/phimax_pore^2)*($A66/100))*($A66/100))</f>
        <v>1.54291290172234</v>
      </c>
      <c r="Q66" s="9" t="n">
        <f aca="false">Q$5*(1+A_pore*Q$6*($A66/100))/(1-Q$6*(1+((1-phimax_pore)/phimax_pore^2)*($A66/100))*($A66/100))</f>
        <v>1.54611034138642</v>
      </c>
      <c r="R66" s="9" t="n">
        <f aca="false">R$5*(1+A_pore*R$6*($A66/100))/(1-R$6*(1+((1-phimax_pore)/phimax_pore^2)*($A66/100))*($A66/100))</f>
        <v>1.54937469559179</v>
      </c>
      <c r="S66" s="9" t="n">
        <f aca="false">S$5*(1+A_pore*S$6*($A66/100))/(1-S$6*(1+((1-phimax_pore)/phimax_pore^2)*($A66/100))*($A66/100))</f>
        <v>1.55270834260186</v>
      </c>
      <c r="T66" s="9" t="n">
        <f aca="false">T$5*(1+A_pore*T$6*($A66/100))/(1-T$6*(1+((1-phimax_pore)/phimax_pore^2)*($A66/100))*($A66/100))</f>
        <v>1.5561137843357</v>
      </c>
      <c r="U66" s="9" t="n">
        <f aca="false">U$5*(1+A_pore*U$6*($A66/100))/(1-U$6*(1+((1-phimax_pore)/phimax_pore^2)*($A66/100))*($A66/100))</f>
        <v>1.55959365491952</v>
      </c>
      <c r="V66" s="9" t="n">
        <f aca="false">V$5*(1+A_pore*V$6*($A66/100))/(1-V$6*(1+((1-phimax_pore)/phimax_pore^2)*($A66/100))*($A66/100))</f>
        <v>1.56315072997728</v>
      </c>
      <c r="W66" s="9" t="n">
        <f aca="false">W$5*(1+A_pore*W$6*($A66/100))/(1-W$6*(1+((1-phimax_pore)/phimax_pore^2)*($A66/100))*($A66/100))</f>
        <v>1.56678793673729</v>
      </c>
      <c r="X66" s="9" t="n">
        <f aca="false">X$5*(1+A_pore*X$6*($A66/100))/(1-X$6*(1+((1-phimax_pore)/phimax_pore^2)*($A66/100))*($A66/100))</f>
        <v>1.57050836504058</v>
      </c>
      <c r="Y66" s="9" t="n">
        <f aca="false">Y$5*(1+A_pore*Y$6*($A66/100))/(1-Y$6*(1+((1-phimax_pore)/phimax_pore^2)*($A66/100))*($A66/100))</f>
        <v>1.57431527934777</v>
      </c>
      <c r="Z66" s="9" t="n">
        <f aca="false">Z$5*(1+A_pore*Z$6*($A66/100))/(1-Z$6*(1+((1-phimax_pore)/phimax_pore^2)*($A66/100))*($A66/100))</f>
        <v>1.57821213185306</v>
      </c>
      <c r="AA66" s="9" t="n">
        <f aca="false">AA$5*(1+A_pore*AA$6*($A66/100))/(1-AA$6*(1+((1-phimax_pore)/phimax_pore^2)*($A66/100))*($A66/100))</f>
        <v>1.58220257682774</v>
      </c>
      <c r="AB66" s="9" t="n">
        <f aca="false">AB$5*(1+A_pore*AB$6*($A66/100))/(1-AB$6*(1+((1-phimax_pore)/phimax_pore^2)*($A66/100))*($A66/100))</f>
        <v>1.5862904863316</v>
      </c>
      <c r="AC66" s="9" t="n">
        <f aca="false">AC$5*(1+A_pore*AC$6*($A66/100))/(1-AC$6*(1+((1-phimax_pore)/phimax_pore^2)*($A66/100))*($A66/100))</f>
        <v>1.5904799674487</v>
      </c>
      <c r="AD66" s="9" t="n">
        <f aca="false">AD$5*(1+A_pore*AD$6*($A66/100))/(1-AD$6*(1+((1-phimax_pore)/phimax_pore^2)*($A66/100))*($A66/100))</f>
        <v>1.59477538122487</v>
      </c>
      <c r="AE66" s="9" t="n">
        <f aca="false">AE$5*(1+A_pore*AE$6*($A66/100))/(1-AE$6*(1+((1-phimax_pore)/phimax_pore^2)*($A66/100))*($A66/100))</f>
        <v>1.59918136350841</v>
      </c>
      <c r="AF66" s="9" t="n">
        <f aca="false">AF$5*(1+A_pore*AF$6*($A66/100))/(1-AF$6*(1+((1-phimax_pore)/phimax_pore^2)*($A66/100))*($A66/100))</f>
        <v>1.6037028479234</v>
      </c>
      <c r="AG66" s="9" t="n">
        <f aca="false">AG$5*(1+A_pore*AG$6*($A66/100))/(1-AG$6*(1+((1-phimax_pore)/phimax_pore^2)*($A66/100))*($A66/100))</f>
        <v>1.60834509123741</v>
      </c>
      <c r="AH66" s="9" t="n">
        <f aca="false">AH$5*(1+A_pore*AH$6*($A66/100))/(1-AH$6*(1+((1-phimax_pore)/phimax_pore^2)*($A66/100))*($A66/100))</f>
        <v>1.61311370142266</v>
      </c>
      <c r="AI66" s="9" t="n">
        <f aca="false">AI$5*(1+A_pore*AI$6*($A66/100))/(1-AI$6*(1+((1-phimax_pore)/phimax_pore^2)*($A66/100))*($A66/100))</f>
        <v>1.61801466875368</v>
      </c>
      <c r="AJ66" s="9" t="n">
        <f aca="false">AJ$5*(1+A_pore*AJ$6*($A66/100))/(1-AJ$6*(1+((1-phimax_pore)/phimax_pore^2)*($A66/100))*($A66/100))</f>
        <v>1.62305440033546</v>
      </c>
      <c r="AK66" s="9" t="n">
        <f aca="false">AK$5*(1+A_pore*AK$6*($A66/100))/(1-AK$6*(1+((1-phimax_pore)/phimax_pore^2)*($A66/100))*($A66/100))</f>
        <v>1.6282397585158</v>
      </c>
    </row>
    <row r="67" customFormat="false" ht="15" hidden="false" customHeight="false" outlineLevel="0" collapsed="false">
      <c r="A67" s="4" t="n">
        <v>58</v>
      </c>
      <c r="B67" s="9" t="n">
        <f aca="false">B$5*(1+A_pore*B$6*($A67/100))/(1-B$6*(1+((1-phimax_pore)/phimax_pore^2)*($A67/100))*($A67/100))</f>
        <v>1.48763186533352</v>
      </c>
      <c r="C67" s="9" t="n">
        <f aca="false">C$5*(1+A_pore*C$6*($A67/100))/(1-C$6*(1+((1-phimax_pore)/phimax_pore^2)*($A67/100))*($A67/100))</f>
        <v>1.48999285728678</v>
      </c>
      <c r="D67" s="9" t="n">
        <f aca="false">D$5*(1+A_pore*D$6*($A67/100))/(1-D$6*(1+((1-phimax_pore)/phimax_pore^2)*($A67/100))*($A67/100))</f>
        <v>1.49239519606451</v>
      </c>
      <c r="E67" s="9" t="n">
        <f aca="false">E$5*(1+A_pore*E$6*($A67/100))/(1-E$6*(1+((1-phimax_pore)/phimax_pore^2)*($A67/100))*($A67/100))</f>
        <v>1.49484008831265</v>
      </c>
      <c r="F67" s="9" t="n">
        <f aca="false">F$5*(1+A_pore*F$6*($A67/100))/(1-F$6*(1+((1-phimax_pore)/phimax_pore^2)*($A67/100))*($A67/100))</f>
        <v>1.49732879184544</v>
      </c>
      <c r="G67" s="9" t="n">
        <f aca="false">G$5*(1+A_pore*G$6*($A67/100))/(1-G$6*(1+((1-phimax_pore)/phimax_pore^2)*($A67/100))*($A67/100))</f>
        <v>1.49986261853303</v>
      </c>
      <c r="H67" s="9" t="n">
        <f aca="false">H$5*(1+A_pore*H$6*($A67/100))/(1-H$6*(1+((1-phimax_pore)/phimax_pore^2)*($A67/100))*($A67/100))</f>
        <v>1.50244293739322</v>
      </c>
      <c r="I67" s="9" t="n">
        <f aca="false">I$5*(1+A_pore*I$6*($A67/100))/(1-I$6*(1+((1-phimax_pore)/phimax_pore^2)*($A67/100))*($A67/100))</f>
        <v>1.50507117790475</v>
      </c>
      <c r="J67" s="9" t="n">
        <f aca="false">J$5*(1+A_pore*J$6*($A67/100))/(1-J$6*(1+((1-phimax_pore)/phimax_pore^2)*($A67/100))*($A67/100))</f>
        <v>1.50774883356131</v>
      </c>
      <c r="K67" s="9" t="n">
        <f aca="false">K$5*(1+A_pore*K$6*($A67/100))/(1-K$6*(1+((1-phimax_pore)/phimax_pore^2)*($A67/100))*($A67/100))</f>
        <v>1.51047746568712</v>
      </c>
      <c r="L67" s="9" t="n">
        <f aca="false">L$5*(1+A_pore*L$6*($A67/100))/(1-L$6*(1+((1-phimax_pore)/phimax_pore^2)*($A67/100))*($A67/100))</f>
        <v>1.51325870753733</v>
      </c>
      <c r="M67" s="9" t="n">
        <f aca="false">M$5*(1+A_pore*M$6*($A67/100))/(1-M$6*(1+((1-phimax_pore)/phimax_pore^2)*($A67/100))*($A67/100))</f>
        <v>1.51609426870883</v>
      </c>
      <c r="N67" s="9" t="n">
        <f aca="false">N$5*(1+A_pore*N$6*($A67/100))/(1-N$6*(1+((1-phimax_pore)/phimax_pore^2)*($A67/100))*($A67/100))</f>
        <v>1.51898593988959</v>
      </c>
      <c r="O67" s="9" t="n">
        <f aca="false">O$5*(1+A_pore*O$6*($A67/100))/(1-O$6*(1+((1-phimax_pore)/phimax_pore^2)*($A67/100))*($A67/100))</f>
        <v>1.52193559797783</v>
      </c>
      <c r="P67" s="9" t="n">
        <f aca="false">P$5*(1+A_pore*P$6*($A67/100))/(1-P$6*(1+((1-phimax_pore)/phimax_pore^2)*($A67/100))*($A67/100))</f>
        <v>1.52494521160556</v>
      </c>
      <c r="Q67" s="9" t="n">
        <f aca="false">Q$5*(1+A_pore*Q$6*($A67/100))/(1-Q$6*(1+((1-phimax_pore)/phimax_pore^2)*($A67/100))*($A67/100))</f>
        <v>1.52801684710493</v>
      </c>
      <c r="R67" s="9" t="n">
        <f aca="false">R$5*(1+A_pore*R$6*($A67/100))/(1-R$6*(1+((1-phimax_pore)/phimax_pore^2)*($A67/100))*($A67/100))</f>
        <v>1.53115267495991</v>
      </c>
      <c r="S67" s="9" t="n">
        <f aca="false">S$5*(1+A_pore*S$6*($A67/100))/(1-S$6*(1+((1-phimax_pore)/phimax_pore^2)*($A67/100))*($A67/100))</f>
        <v>1.53435497679084</v>
      </c>
      <c r="T67" s="9" t="n">
        <f aca="false">T$5*(1+A_pore*T$6*($A67/100))/(1-T$6*(1+((1-phimax_pore)/phimax_pore^2)*($A67/100))*($A67/100))</f>
        <v>1.53762615292452</v>
      </c>
      <c r="U67" s="9" t="n">
        <f aca="false">U$5*(1+A_pore*U$6*($A67/100))/(1-U$6*(1+((1-phimax_pore)/phimax_pore^2)*($A67/100))*($A67/100))</f>
        <v>1.54096873060895</v>
      </c>
      <c r="V67" s="9" t="n">
        <f aca="false">V$5*(1+A_pore*V$6*($A67/100))/(1-V$6*(1+((1-phimax_pore)/phimax_pore^2)*($A67/100))*($A67/100))</f>
        <v>1.54438537293844</v>
      </c>
      <c r="W67" s="9" t="n">
        <f aca="false">W$5*(1+A_pore*W$6*($A67/100))/(1-W$6*(1+((1-phimax_pore)/phimax_pore^2)*($A67/100))*($A67/100))</f>
        <v>1.54787888856293</v>
      </c>
      <c r="X67" s="9" t="n">
        <f aca="false">X$5*(1+A_pore*X$6*($A67/100))/(1-X$6*(1+((1-phimax_pore)/phimax_pore^2)*($A67/100))*($A67/100))</f>
        <v>1.55145224226417</v>
      </c>
      <c r="Y67" s="9" t="n">
        <f aca="false">Y$5*(1+A_pore*Y$6*($A67/100))/(1-Y$6*(1+((1-phimax_pore)/phimax_pore^2)*($A67/100))*($A67/100))</f>
        <v>1.55510856649154</v>
      </c>
      <c r="Z67" s="9" t="n">
        <f aca="false">Z$5*(1+A_pore*Z$6*($A67/100))/(1-Z$6*(1+((1-phimax_pore)/phimax_pore^2)*($A67/100))*($A67/100))</f>
        <v>1.55885117396206</v>
      </c>
      <c r="AA67" s="9" t="n">
        <f aca="false">AA$5*(1+A_pore*AA$6*($A67/100))/(1-AA$6*(1+((1-phimax_pore)/phimax_pore^2)*($A67/100))*($A67/100))</f>
        <v>1.56268357144238</v>
      </c>
      <c r="AB67" s="9" t="n">
        <f aca="false">AB$5*(1+A_pore*AB$6*($A67/100))/(1-AB$6*(1+((1-phimax_pore)/phimax_pore^2)*($A67/100))*($A67/100))</f>
        <v>1.56660947484561</v>
      </c>
      <c r="AC67" s="9" t="n">
        <f aca="false">AC$5*(1+A_pore*AC$6*($A67/100))/(1-AC$6*(1+((1-phimax_pore)/phimax_pore^2)*($A67/100))*($A67/100))</f>
        <v>1.57063282579348</v>
      </c>
      <c r="AD67" s="9" t="n">
        <f aca="false">AD$5*(1+A_pore*AD$6*($A67/100))/(1-AD$6*(1+((1-phimax_pore)/phimax_pore^2)*($A67/100))*($A67/100))</f>
        <v>1.57475780981449</v>
      </c>
      <c r="AE67" s="9" t="n">
        <f aca="false">AE$5*(1+A_pore*AE$6*($A67/100))/(1-AE$6*(1+((1-phimax_pore)/phimax_pore^2)*($A67/100))*($A67/100))</f>
        <v>1.57898887637168</v>
      </c>
      <c r="AF67" s="9" t="n">
        <f aca="false">AF$5*(1+A_pore*AF$6*($A67/100))/(1-AF$6*(1+((1-phimax_pore)/phimax_pore^2)*($A67/100))*($A67/100))</f>
        <v>1.58333076094065</v>
      </c>
      <c r="AG67" s="9" t="n">
        <f aca="false">AG$5*(1+A_pore*AG$6*($A67/100))/(1-AG$6*(1+((1-phimax_pore)/phimax_pore^2)*($A67/100))*($A67/100))</f>
        <v>1.58778850938952</v>
      </c>
      <c r="AH67" s="9" t="n">
        <f aca="false">AH$5*(1+A_pore*AH$6*($A67/100))/(1-AH$6*(1+((1-phimax_pore)/phimax_pore^2)*($A67/100))*($A67/100))</f>
        <v>1.59236750494847</v>
      </c>
      <c r="AI67" s="9" t="n">
        <f aca="false">AI$5*(1+A_pore*AI$6*($A67/100))/(1-AI$6*(1+((1-phimax_pore)/phimax_pore^2)*($A67/100))*($A67/100))</f>
        <v>1.59707349809871</v>
      </c>
      <c r="AJ67" s="9" t="n">
        <f aca="false">AJ$5*(1+A_pore*AJ$6*($A67/100))/(1-AJ$6*(1+((1-phimax_pore)/phimax_pore^2)*($A67/100))*($A67/100))</f>
        <v>1.60191263975975</v>
      </c>
      <c r="AK67" s="9" t="n">
        <f aca="false">AK$5*(1+A_pore*AK$6*($A67/100))/(1-AK$6*(1+((1-phimax_pore)/phimax_pore^2)*($A67/100))*($A67/100))</f>
        <v>1.6068915182113</v>
      </c>
    </row>
    <row r="68" customFormat="false" ht="15" hidden="false" customHeight="false" outlineLevel="0" collapsed="false">
      <c r="A68" s="4" t="n">
        <v>59</v>
      </c>
      <c r="B68" s="9" t="n">
        <f aca="false">B$5*(1+A_pore*B$6*($A68/100))/(1-B$6*(1+((1-phimax_pore)/phimax_pore^2)*($A68/100))*($A68/100))</f>
        <v>1.47148254738678</v>
      </c>
      <c r="C68" s="9" t="n">
        <f aca="false">C$5*(1+A_pore*C$6*($A68/100))/(1-C$6*(1+((1-phimax_pore)/phimax_pore^2)*($A68/100))*($A68/100))</f>
        <v>1.47375062839836</v>
      </c>
      <c r="D68" s="9" t="n">
        <f aca="false">D$5*(1+A_pore*D$6*($A68/100))/(1-D$6*(1+((1-phimax_pore)/phimax_pore^2)*($A68/100))*($A68/100))</f>
        <v>1.47605836277101</v>
      </c>
      <c r="E68" s="9" t="n">
        <f aca="false">E$5*(1+A_pore*E$6*($A68/100))/(1-E$6*(1+((1-phimax_pore)/phimax_pore^2)*($A68/100))*($A68/100))</f>
        <v>1.47840690736913</v>
      </c>
      <c r="F68" s="9" t="n">
        <f aca="false">F$5*(1+A_pore*F$6*($A68/100))/(1-F$6*(1+((1-phimax_pore)/phimax_pore^2)*($A68/100))*($A68/100))</f>
        <v>1.48079746813619</v>
      </c>
      <c r="G68" s="9" t="n">
        <f aca="false">G$5*(1+A_pore*G$6*($A68/100))/(1-G$6*(1+((1-phimax_pore)/phimax_pore^2)*($A68/100))*($A68/100))</f>
        <v>1.48323130286623</v>
      </c>
      <c r="H68" s="9" t="n">
        <f aca="false">H$5*(1+A_pore*H$6*($A68/100))/(1-H$6*(1+((1-phimax_pore)/phimax_pore^2)*($A68/100))*($A68/100))</f>
        <v>1.4857097241714</v>
      </c>
      <c r="I68" s="9" t="n">
        <f aca="false">I$5*(1+A_pore*I$6*($A68/100))/(1-I$6*(1+((1-phimax_pore)/phimax_pore^2)*($A68/100))*($A68/100))</f>
        <v>1.48823410266239</v>
      </c>
      <c r="J68" s="9" t="n">
        <f aca="false">J$5*(1+A_pore*J$6*($A68/100))/(1-J$6*(1+((1-phimax_pore)/phimax_pore^2)*($A68/100))*($A68/100))</f>
        <v>1.4908058703599</v>
      </c>
      <c r="K68" s="9" t="n">
        <f aca="false">K$5*(1+A_pore*K$6*($A68/100))/(1-K$6*(1+((1-phimax_pore)/phimax_pore^2)*($A68/100))*($A68/100))</f>
        <v>1.49342652435741</v>
      </c>
      <c r="L68" s="9" t="n">
        <f aca="false">L$5*(1+A_pore*L$6*($A68/100))/(1-L$6*(1+((1-phimax_pore)/phimax_pore^2)*($A68/100))*($A68/100))</f>
        <v>1.49609763075758</v>
      </c>
      <c r="M68" s="9" t="n">
        <f aca="false">M$5*(1+A_pore*M$6*($A68/100))/(1-M$6*(1+((1-phimax_pore)/phimax_pore^2)*($A68/100))*($A68/100))</f>
        <v>1.49882082890671</v>
      </c>
      <c r="N68" s="9" t="n">
        <f aca="false">N$5*(1+A_pore*N$6*($A68/100))/(1-N$6*(1+((1-phimax_pore)/phimax_pore^2)*($A68/100))*($A68/100))</f>
        <v>1.50159783595442</v>
      </c>
      <c r="O68" s="9" t="n">
        <f aca="false">O$5*(1+A_pore*O$6*($A68/100))/(1-O$6*(1+((1-phimax_pore)/phimax_pore^2)*($A68/100))*($A68/100))</f>
        <v>1.50443045176856</v>
      </c>
      <c r="P68" s="9" t="n">
        <f aca="false">P$5*(1+A_pore*P$6*($A68/100))/(1-P$6*(1+((1-phimax_pore)/phimax_pore^2)*($A68/100))*($A68/100))</f>
        <v>1.50732056423868</v>
      </c>
      <c r="Q68" s="9" t="n">
        <f aca="false">Q$5*(1+A_pore*Q$6*($A68/100))/(1-Q$6*(1+((1-phimax_pore)/phimax_pore^2)*($A68/100))*($A68/100))</f>
        <v>1.51027015500469</v>
      </c>
      <c r="R68" s="9" t="n">
        <f aca="false">R$5*(1+A_pore*R$6*($A68/100))/(1-R$6*(1+((1-phimax_pore)/phimax_pore^2)*($A68/100))*($A68/100))</f>
        <v>1.51328130565197</v>
      </c>
      <c r="S68" s="9" t="n">
        <f aca="false">S$5*(1+A_pore*S$6*($A68/100))/(1-S$6*(1+((1-phimax_pore)/phimax_pore^2)*($A68/100))*($A68/100))</f>
        <v>1.51635620441828</v>
      </c>
      <c r="T68" s="9" t="n">
        <f aca="false">T$5*(1+A_pore*T$6*($A68/100))/(1-T$6*(1+((1-phimax_pore)/phimax_pore^2)*($A68/100))*($A68/100))</f>
        <v>1.51949715346331</v>
      </c>
      <c r="U68" s="9" t="n">
        <f aca="false">U$5*(1+A_pore*U$6*($A68/100))/(1-U$6*(1+((1-phimax_pore)/phimax_pore^2)*($A68/100))*($A68/100))</f>
        <v>1.52270657675753</v>
      </c>
      <c r="V68" s="9" t="n">
        <f aca="false">V$5*(1+A_pore*V$6*($A68/100))/(1-V$6*(1+((1-phimax_pore)/phimax_pore^2)*($A68/100))*($A68/100))</f>
        <v>1.5259870286536</v>
      </c>
      <c r="W68" s="9" t="n">
        <f aca="false">W$5*(1+A_pore*W$6*($A68/100))/(1-W$6*(1+((1-phimax_pore)/phimax_pore^2)*($A68/100))*($A68/100))</f>
        <v>1.52934120321134</v>
      </c>
      <c r="X68" s="9" t="n">
        <f aca="false">X$5*(1+A_pore*X$6*($A68/100))/(1-X$6*(1+((1-phimax_pore)/phimax_pore^2)*($A68/100))*($A68/100))</f>
        <v>1.53277194435544</v>
      </c>
      <c r="Y68" s="9" t="n">
        <f aca="false">Y$5*(1+A_pore*Y$6*($A68/100))/(1-Y$6*(1+((1-phimax_pore)/phimax_pore^2)*($A68/100))*($A68/100))</f>
        <v>1.53628225695554</v>
      </c>
      <c r="Z68" s="9" t="n">
        <f aca="false">Z$5*(1+A_pore*Z$6*($A68/100))/(1-Z$6*(1+((1-phimax_pore)/phimax_pore^2)*($A68/100))*($A68/100))</f>
        <v>1.53987531892872</v>
      </c>
      <c r="AA68" s="9" t="n">
        <f aca="false">AA$5*(1+A_pore*AA$6*($A68/100))/(1-AA$6*(1+((1-phimax_pore)/phimax_pore^2)*($A68/100))*($A68/100))</f>
        <v>1.54355449447785</v>
      </c>
      <c r="AB68" s="9" t="n">
        <f aca="false">AB$5*(1+A_pore*AB$6*($A68/100))/(1-AB$6*(1+((1-phimax_pore)/phimax_pore^2)*($A68/100))*($A68/100))</f>
        <v>1.54732334859351</v>
      </c>
      <c r="AC68" s="9" t="n">
        <f aca="false">AC$5*(1+A_pore*AC$6*($A68/100))/(1-AC$6*(1+((1-phimax_pore)/phimax_pore^2)*($A68/100))*($A68/100))</f>
        <v>1.55118566296404</v>
      </c>
      <c r="AD68" s="9" t="n">
        <f aca="false">AD$5*(1+A_pore*AD$6*($A68/100))/(1-AD$6*(1+((1-phimax_pore)/phimax_pore^2)*($A68/100))*($A68/100))</f>
        <v>1.55514545345785</v>
      </c>
      <c r="AE68" s="9" t="n">
        <f aca="false">AE$5*(1+A_pore*AE$6*($A68/100))/(1-AE$6*(1+((1-phimax_pore)/phimax_pore^2)*($A68/100))*($A68/100))</f>
        <v>1.55920698936402</v>
      </c>
      <c r="AF68" s="9" t="n">
        <f aca="false">AF$5*(1+A_pore*AF$6*($A68/100))/(1-AF$6*(1+((1-phimax_pore)/phimax_pore^2)*($A68/100))*($A68/100))</f>
        <v>1.56337481460346</v>
      </c>
      <c r="AG68" s="9" t="n">
        <f aca="false">AG$5*(1+A_pore*AG$6*($A68/100))/(1-AG$6*(1+((1-phimax_pore)/phimax_pore^2)*($A68/100))*($A68/100))</f>
        <v>1.56765377115226</v>
      </c>
      <c r="AH68" s="9" t="n">
        <f aca="false">AH$5*(1+A_pore*AH$6*($A68/100))/(1-AH$6*(1+((1-phimax_pore)/phimax_pore^2)*($A68/100))*($A68/100))</f>
        <v>1.57204902495412</v>
      </c>
      <c r="AI68" s="9" t="n">
        <f aca="false">AI$5*(1+A_pore*AI$6*($A68/100))/(1-AI$6*(1+((1-phimax_pore)/phimax_pore^2)*($A68/100))*($A68/100))</f>
        <v>1.57656609463865</v>
      </c>
      <c r="AJ68" s="9" t="n">
        <f aca="false">AJ$5*(1+A_pore*AJ$6*($A68/100))/(1-AJ$6*(1+((1-phimax_pore)/phimax_pore^2)*($A68/100))*($A68/100))</f>
        <v>1.58121088340991</v>
      </c>
      <c r="AK68" s="9" t="n">
        <f aca="false">AK$5*(1+A_pore*AK$6*($A68/100))/(1-AK$6*(1+((1-phimax_pore)/phimax_pore^2)*($A68/100))*($A68/100))</f>
        <v>1.58598971452459</v>
      </c>
    </row>
    <row r="69" customFormat="false" ht="15" hidden="false" customHeight="false" outlineLevel="0" collapsed="false">
      <c r="A69" s="4" t="n">
        <v>60</v>
      </c>
      <c r="B69" s="9" t="n">
        <f aca="false">B$5*(1+A_pore*B$6*($A69/100))/(1-B$6*(1+((1-phimax_pore)/phimax_pore^2)*($A69/100))*($A69/100))</f>
        <v>1.45562352259483</v>
      </c>
      <c r="C69" s="9" t="n">
        <f aca="false">C$5*(1+A_pore*C$6*($A69/100))/(1-C$6*(1+((1-phimax_pore)/phimax_pore^2)*($A69/100))*($A69/100))</f>
        <v>1.45780136390967</v>
      </c>
      <c r="D69" s="9" t="n">
        <f aca="false">D$5*(1+A_pore*D$6*($A69/100))/(1-D$6*(1+((1-phimax_pore)/phimax_pore^2)*($A69/100))*($A69/100))</f>
        <v>1.46001721955757</v>
      </c>
      <c r="E69" s="9" t="n">
        <f aca="false">E$5*(1+A_pore*E$6*($A69/100))/(1-E$6*(1+((1-phimax_pore)/phimax_pore^2)*($A69/100))*($A69/100))</f>
        <v>1.46227219828749</v>
      </c>
      <c r="F69" s="9" t="n">
        <f aca="false">F$5*(1+A_pore*F$6*($A69/100))/(1-F$6*(1+((1-phimax_pore)/phimax_pore^2)*($A69/100))*($A69/100))</f>
        <v>1.46456745590806</v>
      </c>
      <c r="G69" s="9" t="n">
        <f aca="false">G$5*(1+A_pore*G$6*($A69/100))/(1-G$6*(1+((1-phimax_pore)/phimax_pore^2)*($A69/100))*($A69/100))</f>
        <v>1.46690419794672</v>
      </c>
      <c r="H69" s="9" t="n">
        <f aca="false">H$5*(1+A_pore*H$6*($A69/100))/(1-H$6*(1+((1-phimax_pore)/phimax_pore^2)*($A69/100))*($A69/100))</f>
        <v>1.46928368249723</v>
      </c>
      <c r="I69" s="9" t="n">
        <f aca="false">I$5*(1+A_pore*I$6*($A69/100))/(1-I$6*(1+((1-phimax_pore)/phimax_pore^2)*($A69/100))*($A69/100))</f>
        <v>1.47170722327143</v>
      </c>
      <c r="J69" s="9" t="n">
        <f aca="false">J$5*(1+A_pore*J$6*($A69/100))/(1-J$6*(1+((1-phimax_pore)/phimax_pore^2)*($A69/100))*($A69/100))</f>
        <v>1.47417619287289</v>
      </c>
      <c r="K69" s="9" t="n">
        <f aca="false">K$5*(1+A_pore*K$6*($A69/100))/(1-K$6*(1+((1-phimax_pore)/phimax_pore^2)*($A69/100))*($A69/100))</f>
        <v>1.4766920263119</v>
      </c>
      <c r="L69" s="9" t="n">
        <f aca="false">L$5*(1+A_pore*L$6*($A69/100))/(1-L$6*(1+((1-phimax_pore)/phimax_pore^2)*($A69/100))*($A69/100))</f>
        <v>1.47925622478304</v>
      </c>
      <c r="M69" s="9" t="n">
        <f aca="false">M$5*(1+A_pore*M$6*($A69/100))/(1-M$6*(1+((1-phimax_pore)/phimax_pore^2)*($A69/100))*($A69/100))</f>
        <v>1.48187035972911</v>
      </c>
      <c r="N69" s="9" t="n">
        <f aca="false">N$5*(1+A_pore*N$6*($A69/100))/(1-N$6*(1+((1-phimax_pore)/phimax_pore^2)*($A69/100))*($A69/100))</f>
        <v>1.48453607721724</v>
      </c>
      <c r="O69" s="9" t="n">
        <f aca="false">O$5*(1+A_pore*O$6*($A69/100))/(1-O$6*(1+((1-phimax_pore)/phimax_pore^2)*($A69/100))*($A69/100))</f>
        <v>1.48725510265618</v>
      </c>
      <c r="P69" s="9" t="n">
        <f aca="false">P$5*(1+A_pore*P$6*($A69/100))/(1-P$6*(1+((1-phimax_pore)/phimax_pore^2)*($A69/100))*($A69/100))</f>
        <v>1.49002924588666</v>
      </c>
      <c r="Q69" s="9" t="n">
        <f aca="false">Q$5*(1+A_pore*Q$6*($A69/100))/(1-Q$6*(1+((1-phimax_pore)/phimax_pore^2)*($A69/100))*($A69/100))</f>
        <v>1.49286040668019</v>
      </c>
      <c r="R69" s="9" t="n">
        <f aca="false">R$5*(1+A_pore*R$6*($A69/100))/(1-R$6*(1+((1-phimax_pore)/phimax_pore^2)*($A69/100))*($A69/100))</f>
        <v>1.49575058068565</v>
      </c>
      <c r="S69" s="9" t="n">
        <f aca="false">S$5*(1+A_pore*S$6*($A69/100))/(1-S$6*(1+((1-phimax_pore)/phimax_pore^2)*($A69/100))*($A69/100))</f>
        <v>1.49870186586756</v>
      </c>
      <c r="T69" s="9" t="n">
        <f aca="false">T$5*(1+A_pore*T$6*($A69/100))/(1-T$6*(1+((1-phimax_pore)/phimax_pore^2)*($A69/100))*($A69/100))</f>
        <v>1.50171646948463</v>
      </c>
      <c r="U69" s="9" t="n">
        <f aca="false">U$5*(1+A_pore*U$6*($A69/100))/(1-U$6*(1+((1-phimax_pore)/phimax_pore^2)*($A69/100))*($A69/100))</f>
        <v>1.50479671566316</v>
      </c>
      <c r="V69" s="9" t="n">
        <f aca="false">V$5*(1+A_pore*V$6*($A69/100))/(1-V$6*(1+((1-phimax_pore)/phimax_pore^2)*($A69/100))*($A69/100))</f>
        <v>1.50794505362601</v>
      </c>
      <c r="W69" s="9" t="n">
        <f aca="false">W$5*(1+A_pore*W$6*($A69/100))/(1-W$6*(1+((1-phimax_pore)/phimax_pore^2)*($A69/100))*($A69/100))</f>
        <v>1.51116406664532</v>
      </c>
      <c r="X69" s="9" t="n">
        <f aca="false">X$5*(1+A_pore*X$6*($A69/100))/(1-X$6*(1+((1-phimax_pore)/phimax_pore^2)*($A69/100))*($A69/100))</f>
        <v>1.51445648179522</v>
      </c>
      <c r="Y69" s="9" t="n">
        <f aca="false">Y$5*(1+A_pore*Y$6*($A69/100))/(1-Y$6*(1+((1-phimax_pore)/phimax_pore^2)*($A69/100))*($A69/100))</f>
        <v>1.51782518059037</v>
      </c>
      <c r="Z69" s="9" t="n">
        <f aca="false">Z$5*(1+A_pore*Z$6*($A69/100))/(1-Z$6*(1+((1-phimax_pore)/phimax_pore^2)*($A69/100))*($A69/100))</f>
        <v>1.52127321060677</v>
      </c>
      <c r="AA69" s="9" t="n">
        <f aca="false">AA$5*(1+A_pore*AA$6*($A69/100))/(1-AA$6*(1+((1-phimax_pore)/phimax_pore^2)*($A69/100))*($A69/100))</f>
        <v>1.52480379819357</v>
      </c>
      <c r="AB69" s="9" t="n">
        <f aca="false">AB$5*(1+A_pore*AB$6*($A69/100))/(1-AB$6*(1+((1-phimax_pore)/phimax_pore^2)*($A69/100))*($A69/100))</f>
        <v>1.52842036239875</v>
      </c>
      <c r="AC69" s="9" t="n">
        <f aca="false">AC$5*(1+A_pore*AC$6*($A69/100))/(1-AC$6*(1+((1-phimax_pore)/phimax_pore^2)*($A69/100))*($A69/100))</f>
        <v>1.53212653024757</v>
      </c>
      <c r="AD69" s="9" t="n">
        <f aca="false">AD$5*(1+A_pore*AD$6*($A69/100))/(1-AD$6*(1+((1-phimax_pore)/phimax_pore^2)*($A69/100))*($A69/100))</f>
        <v>1.53592615353141</v>
      </c>
      <c r="AE69" s="9" t="n">
        <f aca="false">AE$5*(1+A_pore*AE$6*($A69/100))/(1-AE$6*(1+((1-phimax_pore)/phimax_pore^2)*($A69/100))*($A69/100))</f>
        <v>1.53982332728587</v>
      </c>
      <c r="AF69" s="9" t="n">
        <f aca="false">AF$5*(1+A_pore*AF$6*($A69/100))/(1-AF$6*(1+((1-phimax_pore)/phimax_pore^2)*($A69/100))*($A69/100))</f>
        <v>1.54382241016194</v>
      </c>
      <c r="AG69" s="9" t="n">
        <f aca="false">AG$5*(1+A_pore*AG$6*($A69/100))/(1-AG$6*(1+((1-phimax_pore)/phimax_pore^2)*($A69/100))*($A69/100))</f>
        <v>1.54792804692276</v>
      </c>
      <c r="AH69" s="9" t="n">
        <f aca="false">AH$5*(1+A_pore*AH$6*($A69/100))/(1-AH$6*(1+((1-phimax_pore)/phimax_pore^2)*($A69/100))*($A69/100))</f>
        <v>1.55214519333154</v>
      </c>
      <c r="AI69" s="9" t="n">
        <f aca="false">AI$5*(1+A_pore*AI$6*($A69/100))/(1-AI$6*(1+((1-phimax_pore)/phimax_pore^2)*($A69/100))*($A69/100))</f>
        <v>1.55647914373562</v>
      </c>
      <c r="AJ69" s="9" t="n">
        <f aca="false">AJ$5*(1+A_pore*AJ$6*($A69/100))/(1-AJ$6*(1+((1-phimax_pore)/phimax_pore^2)*($A69/100))*($A69/100))</f>
        <v>1.56093556169637</v>
      </c>
      <c r="AK69" s="9" t="n">
        <f aca="false">AK$5*(1+A_pore*AK$6*($A69/100))/(1-AK$6*(1+((1-phimax_pore)/phimax_pore^2)*($A69/100))*($A69/100))</f>
        <v>1.56552051406827</v>
      </c>
    </row>
    <row r="70" customFormat="false" ht="15" hidden="false" customHeight="false" outlineLevel="0" collapsed="false">
      <c r="A70" s="4" t="n">
        <v>61</v>
      </c>
      <c r="B70" s="9" t="n">
        <f aca="false">B$5*(1+A_pore*B$6*($A70/100))/(1-B$6*(1+((1-phimax_pore)/phimax_pore^2)*($A70/100))*($A70/100))</f>
        <v>1.44004704759826</v>
      </c>
      <c r="C70" s="9" t="n">
        <f aca="false">C$5*(1+A_pore*C$6*($A70/100))/(1-C$6*(1+((1-phimax_pore)/phimax_pore^2)*($A70/100))*($A70/100))</f>
        <v>1.44213722265168</v>
      </c>
      <c r="D70" s="9" t="n">
        <f aca="false">D$5*(1+A_pore*D$6*($A70/100))/(1-D$6*(1+((1-phimax_pore)/phimax_pore^2)*($A70/100))*($A70/100))</f>
        <v>1.44426382517325</v>
      </c>
      <c r="E70" s="9" t="n">
        <f aca="false">E$5*(1+A_pore*E$6*($A70/100))/(1-E$6*(1+((1-phimax_pore)/phimax_pore^2)*($A70/100))*($A70/100))</f>
        <v>1.44642791738762</v>
      </c>
      <c r="F70" s="9" t="n">
        <f aca="false">F$5*(1+A_pore*F$6*($A70/100))/(1-F$6*(1+((1-phimax_pore)/phimax_pore^2)*($A70/100))*($A70/100))</f>
        <v>1.44863060662622</v>
      </c>
      <c r="G70" s="9" t="n">
        <f aca="false">G$5*(1+A_pore*G$6*($A70/100))/(1-G$6*(1+((1-phimax_pore)/phimax_pore^2)*($A70/100))*($A70/100))</f>
        <v>1.45087304787776</v>
      </c>
      <c r="H70" s="9" t="n">
        <f aca="false">H$5*(1+A_pore*H$6*($A70/100))/(1-H$6*(1+((1-phimax_pore)/phimax_pore^2)*($A70/100))*($A70/100))</f>
        <v>1.45315644651952</v>
      </c>
      <c r="I70" s="9" t="n">
        <f aca="false">I$5*(1+A_pore*I$6*($A70/100))/(1-I$6*(1+((1-phimax_pore)/phimax_pore^2)*($A70/100))*($A70/100))</f>
        <v>1.45548206124458</v>
      </c>
      <c r="J70" s="9" t="n">
        <f aca="false">J$5*(1+A_pore*J$6*($A70/100))/(1-J$6*(1+((1-phimax_pore)/phimax_pore^2)*($A70/100))*($A70/100))</f>
        <v>1.45785120720209</v>
      </c>
      <c r="K70" s="9" t="n">
        <f aca="false">K$5*(1+A_pore*K$6*($A70/100))/(1-K$6*(1+((1-phimax_pore)/phimax_pore^2)*($A70/100))*($A70/100))</f>
        <v>1.46026525936913</v>
      </c>
      <c r="L70" s="9" t="n">
        <f aca="false">L$5*(1+A_pore*L$6*($A70/100))/(1-L$6*(1+((1-phimax_pore)/phimax_pore^2)*($A70/100))*($A70/100))</f>
        <v>1.46272565617467</v>
      </c>
      <c r="M70" s="9" t="n">
        <f aca="false">M$5*(1+A_pore*M$6*($A70/100))/(1-M$6*(1+((1-phimax_pore)/phimax_pore^2)*($A70/100))*($A70/100))</f>
        <v>1.46523390339825</v>
      </c>
      <c r="N70" s="9" t="n">
        <f aca="false">N$5*(1+A_pore*N$6*($A70/100))/(1-N$6*(1+((1-phimax_pore)/phimax_pore^2)*($A70/100))*($A70/100))</f>
        <v>1.46779157836848</v>
      </c>
      <c r="O70" s="9" t="n">
        <f aca="false">O$5*(1+A_pore*O$6*($A70/100))/(1-O$6*(1+((1-phimax_pore)/phimax_pore^2)*($A70/100))*($A70/100))</f>
        <v>1.47040033448894</v>
      </c>
      <c r="P70" s="9" t="n">
        <f aca="false">P$5*(1+A_pore*P$6*($A70/100))/(1-P$6*(1+((1-phimax_pore)/phimax_pore^2)*($A70/100))*($A70/100))</f>
        <v>1.47306190612221</v>
      </c>
      <c r="Q70" s="9" t="n">
        <f aca="false">Q$5*(1+A_pore*Q$6*($A70/100))/(1-Q$6*(1+((1-phimax_pore)/phimax_pore^2)*($A70/100))*($A70/100))</f>
        <v>1.47577811386602</v>
      </c>
      <c r="R70" s="9" t="n">
        <f aca="false">R$5*(1+A_pore*R$6*($A70/100))/(1-R$6*(1+((1-phimax_pore)/phimax_pore^2)*($A70/100))*($A70/100))</f>
        <v>1.47855087025929</v>
      </c>
      <c r="S70" s="9" t="n">
        <f aca="false">S$5*(1+A_pore*S$6*($A70/100))/(1-S$6*(1+((1-phimax_pore)/phimax_pore^2)*($A70/100))*($A70/100))</f>
        <v>1.4813821859601</v>
      </c>
      <c r="T70" s="9" t="n">
        <f aca="false">T$5*(1+A_pore*T$6*($A70/100))/(1-T$6*(1+((1-phimax_pore)/phimax_pore^2)*($A70/100))*($A70/100))</f>
        <v>1.48427417644249</v>
      </c>
      <c r="U70" s="9" t="n">
        <f aca="false">U$5*(1+A_pore*U$6*($A70/100))/(1-U$6*(1+((1-phimax_pore)/phimax_pore^2)*($A70/100))*($A70/100))</f>
        <v>1.48722906926428</v>
      </c>
      <c r="V70" s="9" t="n">
        <f aca="false">V$5*(1+A_pore*V$6*($A70/100))/(1-V$6*(1+((1-phimax_pore)/phimax_pore^2)*($A70/100))*($A70/100))</f>
        <v>1.49024921196433</v>
      </c>
      <c r="W70" s="9" t="n">
        <f aca="false">W$5*(1+A_pore*W$6*($A70/100))/(1-W$6*(1+((1-phimax_pore)/phimax_pore^2)*($A70/100))*($A70/100))</f>
        <v>1.49333708065467</v>
      </c>
      <c r="X70" s="9" t="n">
        <f aca="false">X$5*(1+A_pore*X$6*($A70/100))/(1-X$6*(1+((1-phimax_pore)/phimax_pore^2)*($A70/100))*($A70/100))</f>
        <v>1.49649528938082</v>
      </c>
      <c r="Y70" s="9" t="n">
        <f aca="false">Y$5*(1+A_pore*Y$6*($A70/100))/(1-Y$6*(1+((1-phimax_pore)/phimax_pore^2)*($A70/100))*($A70/100))</f>
        <v>1.49972660033257</v>
      </c>
      <c r="Z70" s="9" t="n">
        <f aca="false">Z$5*(1+A_pore*Z$6*($A70/100))/(1-Z$6*(1+((1-phimax_pore)/phimax_pore^2)*($A70/100))*($A70/100))</f>
        <v>1.50303393499809</v>
      </c>
      <c r="AA70" s="9" t="n">
        <f aca="false">AA$5*(1+A_pore*AA$6*($A70/100))/(1-AA$6*(1+((1-phimax_pore)/phimax_pore^2)*($A70/100))*($A70/100))</f>
        <v>1.50642038636548</v>
      </c>
      <c r="AB70" s="9" t="n">
        <f aca="false">AB$5*(1+A_pore*AB$6*($A70/100))/(1-AB$6*(1+((1-phimax_pore)/phimax_pore^2)*($A70/100))*($A70/100))</f>
        <v>1.50988923229014</v>
      </c>
      <c r="AC70" s="9" t="n">
        <f aca="false">AC$5*(1+A_pore*AC$6*($A70/100))/(1-AC$6*(1+((1-phimax_pore)/phimax_pore^2)*($A70/100))*($A70/100))</f>
        <v>1.51344395016108</v>
      </c>
      <c r="AD70" s="9" t="n">
        <f aca="false">AD$5*(1+A_pore*AD$6*($A70/100))/(1-AD$6*(1+((1-phimax_pore)/phimax_pore^2)*($A70/100))*($A70/100))</f>
        <v>1.51708823301763</v>
      </c>
      <c r="AE70" s="9" t="n">
        <f aca="false">AE$5*(1+A_pore*AE$6*($A70/100))/(1-AE$6*(1+((1-phimax_pore)/phimax_pore^2)*($A70/100))*($A70/100))</f>
        <v>1.52082600728857</v>
      </c>
      <c r="AF70" s="9" t="n">
        <f aca="false">AF$5*(1+A_pore*AF$6*($A70/100))/(1-AF$6*(1+((1-phimax_pore)/phimax_pore^2)*($A70/100))*($A70/100))</f>
        <v>1.52466145234914</v>
      </c>
      <c r="AG70" s="9" t="n">
        <f aca="false">AG$5*(1+A_pore*AG$6*($A70/100))/(1-AG$6*(1+((1-phimax_pore)/phimax_pore^2)*($A70/100))*($A70/100))</f>
        <v>1.52859902211943</v>
      </c>
      <c r="AH70" s="9" t="n">
        <f aca="false">AH$5*(1+A_pore*AH$6*($A70/100))/(1-AH$6*(1+((1-phimax_pore)/phimax_pore^2)*($A70/100))*($A70/100))</f>
        <v>1.53264346895934</v>
      </c>
      <c r="AI70" s="9" t="n">
        <f aca="false">AI$5*(1+A_pore*AI$6*($A70/100))/(1-AI$6*(1+((1-phimax_pore)/phimax_pore^2)*($A70/100))*($A70/100))</f>
        <v>1.53679987015285</v>
      </c>
      <c r="AJ70" s="9" t="n">
        <f aca="false">AJ$5*(1+A_pore*AJ$6*($A70/100))/(1-AJ$6*(1+((1-phimax_pore)/phimax_pore^2)*($A70/100))*($A70/100))</f>
        <v>1.54107365731773</v>
      </c>
      <c r="AK70" s="9" t="n">
        <f aca="false">AK$5*(1+A_pore*AK$6*($A70/100))/(1-AK$6*(1+((1-phimax_pore)/phimax_pore^2)*($A70/100))*($A70/100))</f>
        <v>1.545470649128</v>
      </c>
    </row>
    <row r="71" customFormat="false" ht="15" hidden="false" customHeight="false" outlineLevel="0" collapsed="false">
      <c r="A71" s="4" t="n">
        <v>62</v>
      </c>
      <c r="B71" s="9" t="n">
        <f aca="false">B$5*(1+A_pore*B$6*($A71/100))/(1-B$6*(1+((1-phimax_pore)/phimax_pore^2)*($A71/100))*($A71/100))</f>
        <v>1.42474565200286</v>
      </c>
      <c r="C71" s="9" t="n">
        <f aca="false">C$5*(1+A_pore*C$6*($A71/100))/(1-C$6*(1+((1-phimax_pore)/phimax_pore^2)*($A71/100))*($A71/100))</f>
        <v>1.42675064079958</v>
      </c>
      <c r="D71" s="9" t="n">
        <f aca="false">D$5*(1+A_pore*D$6*($A71/100))/(1-D$6*(1+((1-phimax_pore)/phimax_pore^2)*($A71/100))*($A71/100))</f>
        <v>1.4287905202056</v>
      </c>
      <c r="E71" s="9" t="n">
        <f aca="false">E$5*(1+A_pore*E$6*($A71/100))/(1-E$6*(1+((1-phimax_pore)/phimax_pore^2)*($A71/100))*($A71/100))</f>
        <v>1.43086630744154</v>
      </c>
      <c r="F71" s="9" t="n">
        <f aca="false">F$5*(1+A_pore*F$6*($A71/100))/(1-F$6*(1+((1-phimax_pore)/phimax_pore^2)*($A71/100))*($A71/100))</f>
        <v>1.43297906294539</v>
      </c>
      <c r="G71" s="9" t="n">
        <f aca="false">G$5*(1+A_pore*G$6*($A71/100))/(1-G$6*(1+((1-phimax_pore)/phimax_pore^2)*($A71/100))*($A71/100))</f>
        <v>1.43512989281784</v>
      </c>
      <c r="H71" s="9" t="n">
        <f aca="false">H$5*(1+A_pore*H$6*($A71/100))/(1-H$6*(1+((1-phimax_pore)/phimax_pore^2)*($A71/100))*($A71/100))</f>
        <v>1.43731995144101</v>
      </c>
      <c r="I71" s="9" t="n">
        <f aca="false">I$5*(1+A_pore*I$6*($A71/100))/(1-I$6*(1+((1-phimax_pore)/phimax_pore^2)*($A71/100))*($A71/100))</f>
        <v>1.43955044428513</v>
      </c>
      <c r="J71" s="9" t="n">
        <f aca="false">J$5*(1+A_pore*J$6*($A71/100))/(1-J$6*(1+((1-phimax_pore)/phimax_pore^2)*($A71/100))*($A71/100))</f>
        <v>1.44182263091963</v>
      </c>
      <c r="K71" s="9" t="n">
        <f aca="false">K$5*(1+A_pore*K$6*($A71/100))/(1-K$6*(1+((1-phimax_pore)/phimax_pore^2)*($A71/100))*($A71/100))</f>
        <v>1.44413782824638</v>
      </c>
      <c r="L71" s="9" t="n">
        <f aca="false">L$5*(1+A_pore*L$6*($A71/100))/(1-L$6*(1+((1-phimax_pore)/phimax_pore^2)*($A71/100))*($A71/100))</f>
        <v>1.44649741397484</v>
      </c>
      <c r="M71" s="9" t="n">
        <f aca="false">M$5*(1+A_pore*M$6*($A71/100))/(1-M$6*(1+((1-phimax_pore)/phimax_pore^2)*($A71/100))*($A71/100))</f>
        <v>1.44890283036077</v>
      </c>
      <c r="N71" s="9" t="n">
        <f aca="false">N$5*(1+A_pore*N$6*($A71/100))/(1-N$6*(1+((1-phimax_pore)/phimax_pore^2)*($A71/100))*($A71/100))</f>
        <v>1.45135558823259</v>
      </c>
      <c r="O71" s="9" t="n">
        <f aca="false">O$5*(1+A_pore*O$6*($A71/100))/(1-O$6*(1+((1-phimax_pore)/phimax_pore^2)*($A71/100))*($A71/100))</f>
        <v>1.45385727133194</v>
      </c>
      <c r="P71" s="9" t="n">
        <f aca="false">P$5*(1+A_pore*P$6*($A71/100))/(1-P$6*(1+((1-phimax_pore)/phimax_pore^2)*($A71/100))*($A71/100))</f>
        <v>1.45640954099782</v>
      </c>
      <c r="Q71" s="9" t="n">
        <f aca="false">Q$5*(1+A_pore*Q$6*($A71/100))/(1-Q$6*(1+((1-phimax_pore)/phimax_pore^2)*($A71/100))*($A71/100))</f>
        <v>1.459014141227</v>
      </c>
      <c r="R71" s="9" t="n">
        <f aca="false">R$5*(1+A_pore*R$6*($A71/100))/(1-R$6*(1+((1-phimax_pore)/phimax_pore^2)*($A71/100))*($A71/100))</f>
        <v>1.46167290414701</v>
      </c>
      <c r="S71" s="9" t="n">
        <f aca="false">S$5*(1+A_pore*S$6*($A71/100))/(1-S$6*(1+((1-phimax_pore)/phimax_pore^2)*($A71/100))*($A71/100))</f>
        <v>1.46438775594194</v>
      </c>
      <c r="T71" s="9" t="n">
        <f aca="false">T$5*(1+A_pore*T$6*($A71/100))/(1-T$6*(1+((1-phimax_pore)/phimax_pore^2)*($A71/100))*($A71/100))</f>
        <v>1.46716072327615</v>
      </c>
      <c r="U71" s="9" t="n">
        <f aca="false">U$5*(1+A_pore*U$6*($A71/100))/(1-U$6*(1+((1-phimax_pore)/phimax_pore^2)*($A71/100))*($A71/100))</f>
        <v>1.46999394026599</v>
      </c>
      <c r="V71" s="9" t="n">
        <f aca="false">V$5*(1+A_pore*V$6*($A71/100))/(1-V$6*(1+((1-phimax_pore)/phimax_pore^2)*($A71/100))*($A71/100))</f>
        <v>1.47288965605557</v>
      </c>
      <c r="W71" s="9" t="n">
        <f aca="false">W$5*(1+A_pore*W$6*($A71/100))/(1-W$6*(1+((1-phimax_pore)/phimax_pore^2)*($A71/100))*($A71/100))</f>
        <v>1.47585024305949</v>
      </c>
      <c r="X71" s="9" t="n">
        <f aca="false">X$5*(1+A_pore*X$6*($A71/100))/(1-X$6*(1+((1-phimax_pore)/phimax_pore^2)*($A71/100))*($A71/100))</f>
        <v>1.47887820594269</v>
      </c>
      <c r="Y71" s="9" t="n">
        <f aca="false">Y$5*(1+A_pore*Y$6*($A71/100))/(1-Y$6*(1+((1-phimax_pore)/phimax_pore^2)*($A71/100))*($A71/100))</f>
        <v>1.48197619141677</v>
      </c>
      <c r="Z71" s="9" t="n">
        <f aca="false">Z$5*(1+A_pore*Z$6*($A71/100))/(1-Z$6*(1+((1-phimax_pore)/phimax_pore^2)*($A71/100))*($A71/100))</f>
        <v>1.48514699894146</v>
      </c>
      <c r="AA71" s="9" t="n">
        <f aca="false">AA$5*(1+A_pore*AA$6*($A71/100))/(1-AA$6*(1+((1-phimax_pore)/phimax_pore^2)*($A71/100))*($A71/100))</f>
        <v>1.48839359243178</v>
      </c>
      <c r="AB71" s="9" t="n">
        <f aca="false">AB$5*(1+A_pore*AB$6*($A71/100))/(1-AB$6*(1+((1-phimax_pore)/phimax_pore^2)*($A71/100))*($A71/100))</f>
        <v>1.49171911308387</v>
      </c>
      <c r="AC71" s="9" t="n">
        <f aca="false">AC$5*(1+A_pore*AC$6*($A71/100))/(1-AC$6*(1+((1-phimax_pore)/phimax_pore^2)*($A71/100))*($A71/100))</f>
        <v>1.49512689344788</v>
      </c>
      <c r="AD71" s="9" t="n">
        <f aca="false">AD$5*(1+A_pore*AD$6*($A71/100))/(1-AD$6*(1+((1-phimax_pore)/phimax_pore^2)*($A71/100))*($A71/100))</f>
        <v>1.49862047289308</v>
      </c>
      <c r="AE71" s="9" t="n">
        <f aca="false">AE$5*(1+A_pore*AE$6*($A71/100))/(1-AE$6*(1+((1-phimax_pore)/phimax_pore^2)*($A71/100))*($A71/100))</f>
        <v>1.50220361463019</v>
      </c>
      <c r="AF71" s="9" t="n">
        <f aca="false">AF$5*(1+A_pore*AF$6*($A71/100))/(1-AF$6*(1+((1-phimax_pore)/phimax_pore^2)*($A71/100))*($A71/100))</f>
        <v>1.50588032447901</v>
      </c>
      <c r="AG71" s="9" t="n">
        <f aca="false">AG$5*(1+A_pore*AG$6*($A71/100))/(1-AG$6*(1+((1-phimax_pore)/phimax_pore^2)*($A71/100))*($A71/100))</f>
        <v>1.50965487159552</v>
      </c>
      <c r="AH71" s="9" t="n">
        <f aca="false">AH$5*(1+A_pore*AH$6*($A71/100))/(1-AH$6*(1+((1-phimax_pore)/phimax_pore^2)*($A71/100))*($A71/100))</f>
        <v>1.51353181140376</v>
      </c>
      <c r="AI71" s="9" t="n">
        <f aca="false">AI$5*(1+A_pore*AI$6*($A71/100))/(1-AI$6*(1+((1-phimax_pore)/phimax_pore^2)*($A71/100))*($A71/100))</f>
        <v>1.51751601101341</v>
      </c>
      <c r="AJ71" s="9" t="n">
        <f aca="false">AJ$5*(1+A_pore*AJ$6*($A71/100))/(1-AJ$6*(1+((1-phimax_pore)/phimax_pore^2)*($A71/100))*($A71/100))</f>
        <v>1.52161267744588</v>
      </c>
      <c r="AK71" s="9" t="n">
        <f aca="false">AK$5*(1+A_pore*AK$6*($A71/100))/(1-AK$6*(1+((1-phimax_pore)/phimax_pore^2)*($A71/100))*($A71/100))</f>
        <v>1.52582738904078</v>
      </c>
    </row>
    <row r="72" customFormat="false" ht="15" hidden="false" customHeight="false" outlineLevel="0" collapsed="false">
      <c r="A72" s="4" t="n">
        <v>63</v>
      </c>
      <c r="B72" s="9" t="n">
        <f aca="false">B$5*(1+A_pore*B$6*($A72/100))/(1-B$6*(1+((1-phimax_pore)/phimax_pore^2)*($A72/100))*($A72/100))</f>
        <v>1.40971212645667</v>
      </c>
      <c r="C72" s="9" t="n">
        <f aca="false">C$5*(1+A_pore*C$6*($A72/100))/(1-C$6*(1+((1-phimax_pore)/phimax_pore^2)*($A72/100))*($A72/100))</f>
        <v>1.41163431971804</v>
      </c>
      <c r="D72" s="9" t="n">
        <f aca="false">D$5*(1+A_pore*D$6*($A72/100))/(1-D$6*(1+((1-phimax_pore)/phimax_pore^2)*($A72/100))*($A72/100))</f>
        <v>1.41358991468737</v>
      </c>
      <c r="E72" s="9" t="n">
        <f aca="false">E$5*(1+A_pore*E$6*($A72/100))/(1-E$6*(1+((1-phimax_pore)/phimax_pore^2)*($A72/100))*($A72/100))</f>
        <v>1.4155798850345</v>
      </c>
      <c r="F72" s="9" t="n">
        <f aca="false">F$5*(1+A_pore*F$6*($A72/100))/(1-F$6*(1+((1-phimax_pore)/phimax_pore^2)*($A72/100))*($A72/100))</f>
        <v>1.41760524581787</v>
      </c>
      <c r="G72" s="9" t="n">
        <f aca="false">G$5*(1+A_pore*G$6*($A72/100))/(1-G$6*(1+((1-phimax_pore)/phimax_pore^2)*($A72/100))*($A72/100))</f>
        <v>1.41966705582797</v>
      </c>
      <c r="H72" s="9" t="n">
        <f aca="false">H$5*(1+A_pore*H$6*($A72/100))/(1-H$6*(1+((1-phimax_pore)/phimax_pore^2)*($A72/100))*($A72/100))</f>
        <v>1.42176642009691</v>
      </c>
      <c r="I72" s="9" t="n">
        <f aca="false">I$5*(1+A_pore*I$6*($A72/100))/(1-I$6*(1+((1-phimax_pore)/phimax_pore^2)*($A72/100))*($A72/100))</f>
        <v>1.42390449258845</v>
      </c>
      <c r="J72" s="9" t="n">
        <f aca="false">J$5*(1+A_pore*J$6*($A72/100))/(1-J$6*(1+((1-phimax_pore)/phimax_pore^2)*($A72/100))*($A72/100))</f>
        <v>1.42608247908385</v>
      </c>
      <c r="K72" s="9" t="n">
        <f aca="false">K$5*(1+A_pore*K$6*($A72/100))/(1-K$6*(1+((1-phimax_pore)/phimax_pore^2)*($A72/100))*($A72/100))</f>
        <v>1.42830164028082</v>
      </c>
      <c r="L72" s="9" t="n">
        <f aca="false">L$5*(1+A_pore*L$6*($A72/100))/(1-L$6*(1+((1-phimax_pore)/phimax_pore^2)*($A72/100))*($A72/100))</f>
        <v>1.43056329512447</v>
      </c>
      <c r="M72" s="9" t="n">
        <f aca="false">M$5*(1+A_pore*M$6*($A72/100))/(1-M$6*(1+((1-phimax_pore)/phimax_pore^2)*($A72/100))*($A72/100))</f>
        <v>1.43286882439101</v>
      </c>
      <c r="N72" s="9" t="n">
        <f aca="false">N$5*(1+A_pore*N$6*($A72/100))/(1-N$6*(1+((1-phimax_pore)/phimax_pore^2)*($A72/100))*($A72/100))</f>
        <v>1.43521967454728</v>
      </c>
      <c r="O72" s="9" t="n">
        <f aca="false">O$5*(1+A_pore*O$6*($A72/100))/(1-O$6*(1+((1-phimax_pore)/phimax_pore^2)*($A72/100))*($A72/100))</f>
        <v>1.43761736191168</v>
      </c>
      <c r="P72" s="9" t="n">
        <f aca="false">P$5*(1+A_pore*P$6*($A72/100))/(1-P$6*(1+((1-phimax_pore)/phimax_pore^2)*($A72/100))*($A72/100))</f>
        <v>1.44006347714458</v>
      </c>
      <c r="Q72" s="9" t="n">
        <f aca="false">Q$5*(1+A_pore*Q$6*($A72/100))/(1-Q$6*(1+((1-phimax_pore)/phimax_pore^2)*($A72/100))*($A72/100))</f>
        <v>1.44255969009963</v>
      </c>
      <c r="R72" s="9" t="n">
        <f aca="false">R$5*(1+A_pore*R$6*($A72/100))/(1-R$6*(1+((1-phimax_pore)/phimax_pore^2)*($A72/100))*($A72/100))</f>
        <v>1.44510775507081</v>
      </c>
      <c r="S72" s="9" t="n">
        <f aca="false">S$5*(1+A_pore*S$6*($A72/100))/(1-S$6*(1+((1-phimax_pore)/phimax_pore^2)*($A72/100))*($A72/100))</f>
        <v>1.44770951647378</v>
      </c>
      <c r="T72" s="9" t="n">
        <f aca="false">T$5*(1+A_pore*T$6*($A72/100))/(1-T$6*(1+((1-phimax_pore)/phimax_pore^2)*($A72/100))*($A72/100))</f>
        <v>1.45036691500489</v>
      </c>
      <c r="U72" s="9" t="n">
        <f aca="false">U$5*(1+A_pore*U$6*($A72/100))/(1-U$6*(1+((1-phimax_pore)/phimax_pore^2)*($A72/100))*($A72/100))</f>
        <v>1.45308199432573</v>
      </c>
      <c r="V72" s="9" t="n">
        <f aca="false">V$5*(1+A_pore*V$6*($A72/100))/(1-V$6*(1+((1-phimax_pore)/phimax_pore^2)*($A72/100))*($A72/100))</f>
        <v>1.4558569083273</v>
      </c>
      <c r="W72" s="9" t="n">
        <f aca="false">W$5*(1+A_pore*W$6*($A72/100))/(1-W$6*(1+((1-phimax_pore)/phimax_pore^2)*($A72/100))*($A72/100))</f>
        <v>1.45869392903377</v>
      </c>
      <c r="X72" s="9" t="n">
        <f aca="false">X$5*(1+A_pore*X$6*($A72/100))/(1-X$6*(1+((1-phimax_pore)/phimax_pore^2)*($A72/100))*($A72/100))</f>
        <v>1.46159545521362</v>
      </c>
      <c r="Y72" s="9" t="n">
        <f aca="false">Y$5*(1+A_pore*Y$6*($A72/100))/(1-Y$6*(1+((1-phimax_pore)/phimax_pore^2)*($A72/100))*($A72/100))</f>
        <v>1.46456402177376</v>
      </c>
      <c r="Z72" s="9" t="n">
        <f aca="false">Z$5*(1+A_pore*Z$6*($A72/100))/(1-Z$6*(1+((1-phimax_pore)/phimax_pore^2)*($A72/100))*($A72/100))</f>
        <v>1.46760231002231</v>
      </c>
      <c r="AA72" s="9" t="n">
        <f aca="false">AA$5*(1+A_pore*AA$6*($A72/100))/(1-AA$6*(1+((1-phimax_pore)/phimax_pore^2)*($A72/100))*($A72/100))</f>
        <v>1.47071315889589</v>
      </c>
      <c r="AB72" s="9" t="n">
        <f aca="false">AB$5*(1+A_pore*AB$6*($A72/100))/(1-AB$6*(1+((1-phimax_pore)/phimax_pore^2)*($A72/100))*($A72/100))</f>
        <v>1.47389957726052</v>
      </c>
      <c r="AC72" s="9" t="n">
        <f aca="false">AC$5*(1+A_pore*AC$6*($A72/100))/(1-AC$6*(1+((1-phimax_pore)/phimax_pore^2)*($A72/100))*($A72/100))</f>
        <v>1.47716475740867</v>
      </c>
      <c r="AD72" s="9" t="n">
        <f aca="false">AD$5*(1+A_pore*AD$6*($A72/100))/(1-AD$6*(1+((1-phimax_pore)/phimax_pore^2)*($A72/100))*($A72/100))</f>
        <v>1.48051208989229</v>
      </c>
      <c r="AE72" s="9" t="n">
        <f aca="false">AE$5*(1+A_pore*AE$6*($A72/100))/(1-AE$6*(1+((1-phimax_pore)/phimax_pore^2)*($A72/100))*($A72/100))</f>
        <v>1.48394517984983</v>
      </c>
      <c r="AF72" s="9" t="n">
        <f aca="false">AF$5*(1+A_pore*AF$6*($A72/100))/(1-AF$6*(1+((1-phimax_pore)/phimax_pore^2)*($A72/100))*($A72/100))</f>
        <v>1.48746786500789</v>
      </c>
      <c r="AG72" s="9" t="n">
        <f aca="false">AG$5*(1+A_pore*AG$6*($A72/100))/(1-AG$6*(1+((1-phimax_pore)/phimax_pore^2)*($A72/100))*($A72/100))</f>
        <v>1.491084235563</v>
      </c>
      <c r="AH72" s="9" t="n">
        <f aca="false">AH$5*(1+A_pore*AH$6*($A72/100))/(1-AH$6*(1+((1-phimax_pore)/phimax_pore^2)*($A72/100))*($A72/100))</f>
        <v>1.494798656179</v>
      </c>
      <c r="AI72" s="9" t="n">
        <f aca="false">AI$5*(1+A_pore*AI$6*($A72/100))/(1-AI$6*(1+((1-phimax_pore)/phimax_pore^2)*($A72/100))*($A72/100))</f>
        <v>1.49861579036947</v>
      </c>
      <c r="AJ72" s="9" t="n">
        <f aca="false">AJ$5*(1+A_pore*AJ$6*($A72/100))/(1-AJ$6*(1+((1-phimax_pore)/phimax_pore^2)*($A72/100))*($A72/100))</f>
        <v>1.50254062757525</v>
      </c>
      <c r="AK72" s="9" t="n">
        <f aca="false">AK$5*(1+A_pore*AK$6*($A72/100))/(1-AK$6*(1+((1-phimax_pore)/phimax_pore^2)*($A72/100))*($A72/100))</f>
        <v>1.5065785132937</v>
      </c>
    </row>
    <row r="73" customFormat="false" ht="15" hidden="false" customHeight="false" outlineLevel="0" collapsed="false">
      <c r="A73" s="4" t="n">
        <v>64</v>
      </c>
      <c r="B73" s="9" t="n">
        <f aca="false">B$5*(1+A_pore*B$6*($A73/100))/(1-B$6*(1+((1-phimax_pore)/phimax_pore^2)*($A73/100))*($A73/100))</f>
        <v>1.39493951134656</v>
      </c>
      <c r="C73" s="9" t="n">
        <f aca="false">C$5*(1+A_pore*C$6*($A73/100))/(1-C$6*(1+((1-phimax_pore)/phimax_pore^2)*($A73/100))*($A73/100))</f>
        <v>1.39678121444023</v>
      </c>
      <c r="D73" s="9" t="n">
        <f aca="false">D$5*(1+A_pore*D$6*($A73/100))/(1-D$6*(1+((1-phimax_pore)/phimax_pore^2)*($A73/100))*($A73/100))</f>
        <v>1.3986548763515</v>
      </c>
      <c r="E73" s="9" t="n">
        <f aca="false">E$5*(1+A_pore*E$6*($A73/100))/(1-E$6*(1+((1-phimax_pore)/phimax_pore^2)*($A73/100))*($A73/100))</f>
        <v>1.40056142858936</v>
      </c>
      <c r="F73" s="9" t="n">
        <f aca="false">F$5*(1+A_pore*F$6*($A73/100))/(1-F$6*(1+((1-phimax_pore)/phimax_pore^2)*($A73/100))*($A73/100))</f>
        <v>1.40250184228051</v>
      </c>
      <c r="G73" s="9" t="n">
        <f aca="false">G$5*(1+A_pore*G$6*($A73/100))/(1-G$6*(1+((1-phimax_pore)/phimax_pore^2)*($A73/100))*($A73/100))</f>
        <v>1.40447713041399</v>
      </c>
      <c r="H73" s="9" t="n">
        <f aca="false">H$5*(1+A_pore*H$6*($A73/100))/(1-H$6*(1+((1-phimax_pore)/phimax_pore^2)*($A73/100))*($A73/100))</f>
        <v>1.40648835024517</v>
      </c>
      <c r="I73" s="9" t="n">
        <f aca="false">I$5*(1+A_pore*I$6*($A73/100))/(1-I$6*(1+((1-phimax_pore)/phimax_pore^2)*($A73/100))*($A73/100))</f>
        <v>1.40853660587245</v>
      </c>
      <c r="J73" s="9" t="n">
        <f aca="false">J$5*(1+A_pore*J$6*($A73/100))/(1-J$6*(1+((1-phimax_pore)/phimax_pore^2)*($A73/100))*($A73/100))</f>
        <v>1.41062305100186</v>
      </c>
      <c r="K73" s="9" t="n">
        <f aca="false">K$5*(1+A_pore*K$6*($A73/100))/(1-K$6*(1+((1-phimax_pore)/phimax_pore^2)*($A73/100))*($A73/100))</f>
        <v>1.41274889191585</v>
      </c>
      <c r="L73" s="9" t="n">
        <f aca="false">L$5*(1+A_pore*L$6*($A73/100))/(1-L$6*(1+((1-phimax_pore)/phimax_pore^2)*($A73/100))*($A73/100))</f>
        <v>1.41491539066435</v>
      </c>
      <c r="M73" s="9" t="n">
        <f aca="false">M$5*(1+A_pore*M$6*($A73/100))/(1-M$6*(1+((1-phimax_pore)/phimax_pore^2)*($A73/100))*($A73/100))</f>
        <v>1.41712386849826</v>
      </c>
      <c r="N73" s="9" t="n">
        <f aca="false">N$5*(1+A_pore*N$6*($A73/100))/(1-N$6*(1+((1-phimax_pore)/phimax_pore^2)*($A73/100))*($A73/100))</f>
        <v>1.41937570956722</v>
      </c>
      <c r="O73" s="9" t="n">
        <f aca="false">O$5*(1+A_pore*O$6*($A73/100))/(1-O$6*(1+((1-phimax_pore)/phimax_pore^2)*($A73/100))*($A73/100))</f>
        <v>1.42167236490633</v>
      </c>
      <c r="P73" s="9" t="n">
        <f aca="false">P$5*(1+A_pore*P$6*($A73/100))/(1-P$6*(1+((1-phimax_pore)/phimax_pore^2)*($A73/100))*($A73/100))</f>
        <v>1.42401535673873</v>
      </c>
      <c r="Q73" s="9" t="n">
        <f aca="false">Q$5*(1+A_pore*Q$6*($A73/100))/(1-Q$6*(1+((1-phimax_pore)/phimax_pore^2)*($A73/100))*($A73/100))</f>
        <v>1.42640628312417</v>
      </c>
      <c r="R73" s="9" t="n">
        <f aca="false">R$5*(1+A_pore*R$6*($A73/100))/(1-R$6*(1+((1-phimax_pore)/phimax_pore^2)*($A73/100))*($A73/100))</f>
        <v>1.42884682298686</v>
      </c>
      <c r="S73" s="9" t="n">
        <f aca="false">S$5*(1+A_pore*S$6*($A73/100))/(1-S$6*(1+((1-phimax_pore)/phimax_pore^2)*($A73/100))*($A73/100))</f>
        <v>1.43133874155985</v>
      </c>
      <c r="T73" s="9" t="n">
        <f aca="false">T$5*(1+A_pore*T$6*($A73/100))/(1-T$6*(1+((1-phimax_pore)/phimax_pore^2)*($A73/100))*($A73/100))</f>
        <v>1.43388389628716</v>
      </c>
      <c r="U73" s="9" t="n">
        <f aca="false">U$5*(1+A_pore*U$6*($A73/100))/(1-U$6*(1+((1-phimax_pore)/phimax_pore^2)*($A73/100))*($A73/100))</f>
        <v>1.43648424322996</v>
      </c>
      <c r="V73" s="9" t="n">
        <f aca="false">V$5*(1+A_pore*V$6*($A73/100))/(1-V$6*(1+((1-phimax_pore)/phimax_pore^2)*($A73/100))*($A73/100))</f>
        <v>1.43914184402827</v>
      </c>
      <c r="W73" s="9" t="n">
        <f aca="false">W$5*(1+A_pore*W$6*($A73/100))/(1-W$6*(1+((1-phimax_pore)/phimax_pore^2)*($A73/100))*($A73/100))</f>
        <v>1.4418588734761</v>
      </c>
      <c r="X73" s="9" t="n">
        <f aca="false">X$5*(1+A_pore*X$6*($A73/100))/(1-X$6*(1+((1-phimax_pore)/phimax_pore^2)*($A73/100))*($A73/100))</f>
        <v>1.44463762777467</v>
      </c>
      <c r="Y73" s="9" t="n">
        <f aca="false">Y$5*(1+A_pore*Y$6*($A73/100))/(1-Y$6*(1+((1-phimax_pore)/phimax_pore^2)*($A73/100))*($A73/100))</f>
        <v>1.4474805335365</v>
      </c>
      <c r="Z73" s="9" t="n">
        <f aca="false">Z$5*(1+A_pore*Z$6*($A73/100))/(1-Z$6*(1+((1-phimax_pore)/phimax_pore^2)*($A73/100))*($A73/100))</f>
        <v>1.45039015762232</v>
      </c>
      <c r="AA73" s="9" t="n">
        <f aca="false">AA$5*(1+A_pore*AA$6*($A73/100))/(1-AA$6*(1+((1-phimax_pore)/phimax_pore^2)*($A73/100))*($A73/100))</f>
        <v>1.45336921790299</v>
      </c>
      <c r="AB73" s="9" t="n">
        <f aca="false">AB$5*(1+A_pore*AB$6*($A73/100))/(1-AB$6*(1+((1-phimax_pore)/phimax_pore^2)*($A73/100))*($A73/100))</f>
        <v>1.45642059505072</v>
      </c>
      <c r="AC73" s="9" t="n">
        <f aca="false">AC$5*(1+A_pore*AC$6*($A73/100))/(1-AC$6*(1+((1-phimax_pore)/phimax_pore^2)*($A73/100))*($A73/100))</f>
        <v>1.45954734547753</v>
      </c>
      <c r="AD73" s="9" t="n">
        <f aca="false">AD$5*(1+A_pore*AD$6*($A73/100))/(1-AD$6*(1+((1-phimax_pore)/phimax_pore^2)*($A73/100))*($A73/100))</f>
        <v>1.46275271555463</v>
      </c>
      <c r="AE73" s="9" t="n">
        <f aca="false">AE$5*(1+A_pore*AE$6*($A73/100))/(1-AE$6*(1+((1-phimax_pore)/phimax_pore^2)*($A73/100))*($A73/100))</f>
        <v>1.46604015726473</v>
      </c>
      <c r="AF73" s="9" t="n">
        <f aca="false">AF$5*(1+A_pore*AF$6*($A73/100))/(1-AF$6*(1+((1-phimax_pore)/phimax_pore^2)*($A73/100))*($A73/100))</f>
        <v>1.46941334546009</v>
      </c>
      <c r="AG73" s="9" t="n">
        <f aca="false">AG$5*(1+A_pore*AG$6*($A73/100))/(1-AG$6*(1+((1-phimax_pore)/phimax_pore^2)*($A73/100))*($A73/100))</f>
        <v>1.47287619692384</v>
      </c>
      <c r="AH73" s="9" t="n">
        <f aca="false">AH$5*(1+A_pore*AH$6*($A73/100))/(1-AH$6*(1+((1-phimax_pore)/phimax_pore^2)*($A73/100))*($A73/100))</f>
        <v>1.47643289146006</v>
      </c>
      <c r="AI73" s="9" t="n">
        <f aca="false">AI$5*(1+A_pore*AI$6*($A73/100))/(1-AI$6*(1+((1-phimax_pore)/phimax_pore^2)*($A73/100))*($A73/100))</f>
        <v>1.48008789527142</v>
      </c>
      <c r="AJ73" s="9" t="n">
        <f aca="false">AJ$5*(1+A_pore*AJ$6*($A73/100))/(1-AJ$6*(1+((1-phimax_pore)/phimax_pore^2)*($A73/100))*($A73/100))</f>
        <v>1.48384598692141</v>
      </c>
      <c r="AK73" s="9" t="n">
        <f aca="false">AK$5*(1+A_pore*AK$6*($A73/100))/(1-AK$6*(1+((1-phimax_pore)/phimax_pore^2)*($A73/100))*($A73/100))</f>
        <v>1.48771228622362</v>
      </c>
    </row>
    <row r="74" customFormat="false" ht="15" hidden="false" customHeight="false" outlineLevel="0" collapsed="false">
      <c r="A74" s="4" t="n">
        <v>65</v>
      </c>
      <c r="B74" s="9" t="n">
        <f aca="false">B$5*(1+A_pore*B$6*($A74/100))/(1-B$6*(1+((1-phimax_pore)/phimax_pore^2)*($A74/100))*($A74/100))</f>
        <v>1.38042108607707</v>
      </c>
      <c r="C74" s="9" t="n">
        <f aca="false">C$5*(1+A_pore*C$6*($A74/100))/(1-C$6*(1+((1-phimax_pore)/phimax_pore^2)*($A74/100))*($A74/100))</f>
        <v>1.38218452274225</v>
      </c>
      <c r="D74" s="9" t="n">
        <f aca="false">D$5*(1+A_pore*D$6*($A74/100))/(1-D$6*(1+((1-phimax_pore)/phimax_pore^2)*($A74/100))*($A74/100))</f>
        <v>1.38397851949524</v>
      </c>
      <c r="E74" s="9" t="n">
        <f aca="false">E$5*(1+A_pore*E$6*($A74/100))/(1-E$6*(1+((1-phimax_pore)/phimax_pore^2)*($A74/100))*($A74/100))</f>
        <v>1.38580396701414</v>
      </c>
      <c r="F74" s="9" t="n">
        <f aca="false">F$5*(1+A_pore*F$6*($A74/100))/(1-F$6*(1+((1-phimax_pore)/phimax_pore^2)*($A74/100))*($A74/100))</f>
        <v>1.38766179387916</v>
      </c>
      <c r="G74" s="9" t="n">
        <f aca="false">G$5*(1+A_pore*G$6*($A74/100))/(1-G$6*(1+((1-phimax_pore)/phimax_pore^2)*($A74/100))*($A74/100))</f>
        <v>1.38955296872149</v>
      </c>
      <c r="H74" s="9" t="n">
        <f aca="false">H$5*(1+A_pore*H$6*($A74/100))/(1-H$6*(1+((1-phimax_pore)/phimax_pore^2)*($A74/100))*($A74/100))</f>
        <v>1.39147850252476</v>
      </c>
      <c r="I74" s="9" t="n">
        <f aca="false">I$5*(1+A_pore*I$6*($A74/100))/(1-I$6*(1+((1-phimax_pore)/phimax_pore^2)*($A74/100))*($A74/100))</f>
        <v>1.39343945109203</v>
      </c>
      <c r="J74" s="9" t="n">
        <f aca="false">J$5*(1+A_pore*J$6*($A74/100))/(1-J$6*(1+((1-phimax_pore)/phimax_pore^2)*($A74/100))*($A74/100))</f>
        <v>1.39543691769274</v>
      </c>
      <c r="K74" s="9" t="n">
        <f aca="false">K$5*(1+A_pore*K$6*($A74/100))/(1-K$6*(1+((1-phimax_pore)/phimax_pore^2)*($A74/100))*($A74/100))</f>
        <v>1.39747205590517</v>
      </c>
      <c r="L74" s="9" t="n">
        <f aca="false">L$5*(1+A_pore*L$6*($A74/100))/(1-L$6*(1+((1-phimax_pore)/phimax_pore^2)*($A74/100))*($A74/100))</f>
        <v>1.39954607267199</v>
      </c>
      <c r="M74" s="9" t="n">
        <f aca="false">M$5*(1+A_pore*M$6*($A74/100))/(1-M$6*(1+((1-phimax_pore)/phimax_pore^2)*($A74/100))*($A74/100))</f>
        <v>1.40166023158793</v>
      </c>
      <c r="N74" s="9" t="n">
        <f aca="false">N$5*(1+A_pore*N$6*($A74/100))/(1-N$6*(1+((1-phimax_pore)/phimax_pore^2)*($A74/100))*($A74/100))</f>
        <v>1.40381585644068</v>
      </c>
      <c r="O74" s="9" t="n">
        <f aca="false">O$5*(1+A_pore*O$6*($A74/100))/(1-O$6*(1+((1-phimax_pore)/phimax_pore^2)*($A74/100))*($A74/100))</f>
        <v>1.40601433502863</v>
      </c>
      <c r="P74" s="9" t="n">
        <f aca="false">P$5*(1+A_pore*P$6*($A74/100))/(1-P$6*(1+((1-phimax_pore)/phimax_pore^2)*($A74/100))*($A74/100))</f>
        <v>1.40825712328125</v>
      </c>
      <c r="Q74" s="9" t="n">
        <f aca="false">Q$5*(1+A_pore*Q$6*($A74/100))/(1-Q$6*(1+((1-phimax_pore)/phimax_pore^2)*($A74/100))*($A74/100))</f>
        <v>1.41054574971087</v>
      </c>
      <c r="R74" s="9" t="n">
        <f aca="false">R$5*(1+A_pore*R$6*($A74/100))/(1-R$6*(1+((1-phimax_pore)/phimax_pore^2)*($A74/100))*($A74/100))</f>
        <v>1.41288182022801</v>
      </c>
      <c r="S74" s="9" t="n">
        <f aca="false">S$5*(1+A_pore*S$6*($A74/100))/(1-S$6*(1+((1-phimax_pore)/phimax_pore^2)*($A74/100))*($A74/100))</f>
        <v>1.41526702335567</v>
      </c>
      <c r="T74" s="9" t="n">
        <f aca="false">T$5*(1+A_pore*T$6*($A74/100))/(1-T$6*(1+((1-phimax_pore)/phimax_pore^2)*($A74/100))*($A74/100))</f>
        <v>1.41770313588233</v>
      </c>
      <c r="U74" s="9" t="n">
        <f aca="false">U$5*(1+A_pore*U$6*($A74/100))/(1-U$6*(1+((1-phimax_pore)/phimax_pore^2)*($A74/100))*($A74/100))</f>
        <v>1.42019202899784</v>
      </c>
      <c r="V74" s="9" t="n">
        <f aca="false">V$5*(1+A_pore*V$6*($A74/100))/(1-V$6*(1+((1-phimax_pore)/phimax_pore^2)*($A74/100))*($A74/100))</f>
        <v>1.42273567496178</v>
      </c>
      <c r="W74" s="9" t="n">
        <f aca="false">W$5*(1+A_pore*W$6*($A74/100))/(1-W$6*(1+((1-phimax_pore)/phimax_pore^2)*($A74/100))*($A74/100))</f>
        <v>1.42533615435949</v>
      </c>
      <c r="X74" s="9" t="n">
        <f aca="false">X$5*(1+A_pore*X$6*($A74/100))/(1-X$6*(1+((1-phimax_pore)/phimax_pore^2)*($A74/100))*($A74/100))</f>
        <v>1.42799566400796</v>
      </c>
      <c r="Y74" s="9" t="n">
        <f aca="false">Y$5*(1+A_pore*Y$6*($A74/100))/(1-Y$6*(1+((1-phimax_pore)/phimax_pore^2)*($A74/100))*($A74/100))</f>
        <v>1.43071652558133</v>
      </c>
      <c r="Z74" s="9" t="n">
        <f aca="false">Z$5*(1+A_pore*Z$6*($A74/100))/(1-Z$6*(1+((1-phimax_pore)/phimax_pore^2)*($A74/100))*($A74/100))</f>
        <v>1.43350119503443</v>
      </c>
      <c r="AA74" s="9" t="n">
        <f aca="false">AA$5*(1+A_pore*AA$6*($A74/100))/(1-AA$6*(1+((1-phimax_pore)/phimax_pore^2)*($A74/100))*($A74/100))</f>
        <v>1.43635227291285</v>
      </c>
      <c r="AB74" s="9" t="n">
        <f aca="false">AB$5*(1+A_pore*AB$6*($A74/100))/(1-AB$6*(1+((1-phimax_pore)/phimax_pore^2)*($A74/100))*($A74/100))</f>
        <v>1.43927251564946</v>
      </c>
      <c r="AC74" s="9" t="n">
        <f aca="false">AC$5*(1+A_pore*AC$6*($A74/100))/(1-AC$6*(1+((1-phimax_pore)/phimax_pore^2)*($A74/100))*($A74/100))</f>
        <v>1.44226484796037</v>
      </c>
      <c r="AD74" s="9" t="n">
        <f aca="false">AD$5*(1+A_pore*AD$6*($A74/100))/(1-AD$6*(1+((1-phimax_pore)/phimax_pore^2)*($A74/100))*($A74/100))</f>
        <v>1.44533237646869</v>
      </c>
      <c r="AE74" s="9" t="n">
        <f aca="false">AE$5*(1+A_pore*AE$6*($A74/100))/(1-AE$6*(1+((1-phimax_pore)/phimax_pore^2)*($A74/100))*($A74/100))</f>
        <v>1.44847840470148</v>
      </c>
      <c r="AF74" s="9" t="n">
        <f aca="false">AF$5*(1+A_pore*AF$6*($A74/100))/(1-AF$6*(1+((1-phimax_pore)/phimax_pore^2)*($A74/100))*($A74/100))</f>
        <v>1.45170644962589</v>
      </c>
      <c r="AG74" s="9" t="n">
        <f aca="false">AG$5*(1+A_pore*AG$6*($A74/100))/(1-AG$6*(1+((1-phimax_pore)/phimax_pore^2)*($A74/100))*($A74/100))</f>
        <v>1.45502025991356</v>
      </c>
      <c r="AH74" s="9" t="n">
        <f aca="false">AH$5*(1+A_pore*AH$6*($A74/100))/(1-AH$6*(1+((1-phimax_pore)/phimax_pore^2)*($A74/100))*($A74/100))</f>
        <v>1.45842383614968</v>
      </c>
      <c r="AI74" s="9" t="n">
        <f aca="false">AI$5*(1+A_pore*AI$6*($A74/100))/(1-AI$6*(1+((1-phimax_pore)/phimax_pore^2)*($A74/100))*($A74/100))</f>
        <v>1.46192145323455</v>
      </c>
      <c r="AJ74" s="9" t="n">
        <f aca="false">AJ$5*(1+A_pore*AJ$6*($A74/100))/(1-AJ$6*(1+((1-phimax_pore)/phimax_pore^2)*($A74/100))*($A74/100))</f>
        <v>1.46551768526274</v>
      </c>
      <c r="AK74" s="9" t="n">
        <f aca="false">AK$5*(1+A_pore*AK$6*($A74/100))/(1-AK$6*(1+((1-phimax_pore)/phimax_pore^2)*($A74/100))*($A74/100))</f>
        <v>1.46921743320781</v>
      </c>
    </row>
    <row r="75" customFormat="false" ht="15" hidden="false" customHeight="false" outlineLevel="0" collapsed="false">
      <c r="A75" s="4" t="n">
        <v>66</v>
      </c>
      <c r="B75" s="9" t="n">
        <f aca="false">B$5*(1+A_pore*B$6*($A75/100))/(1-B$6*(1+((1-phimax_pore)/phimax_pore^2)*($A75/100))*($A75/100))</f>
        <v>1.36615035889686</v>
      </c>
      <c r="C75" s="9" t="n">
        <f aca="false">C$5*(1+A_pore*C$6*($A75/100))/(1-C$6*(1+((1-phimax_pore)/phimax_pore^2)*($A75/100))*($A75/100))</f>
        <v>1.36783767477737</v>
      </c>
      <c r="D75" s="9" t="n">
        <f aca="false">D$5*(1+A_pore*D$6*($A75/100))/(1-D$6*(1+((1-phimax_pore)/phimax_pore^2)*($A75/100))*($A75/100))</f>
        <v>1.36955419441664</v>
      </c>
      <c r="E75" s="9" t="n">
        <f aca="false">E$5*(1+A_pore*E$6*($A75/100))/(1-E$6*(1+((1-phimax_pore)/phimax_pore^2)*($A75/100))*($A75/100))</f>
        <v>1.37130076893504</v>
      </c>
      <c r="F75" s="9" t="n">
        <f aca="false">F$5*(1+A_pore*F$6*($A75/100))/(1-F$6*(1+((1-phimax_pore)/phimax_pore^2)*($A75/100))*($A75/100))</f>
        <v>1.37307828569233</v>
      </c>
      <c r="G75" s="9" t="n">
        <f aca="false">G$5*(1+A_pore*G$6*($A75/100))/(1-G$6*(1+((1-phimax_pore)/phimax_pore^2)*($A75/100))*($A75/100))</f>
        <v>1.3748876703436</v>
      </c>
      <c r="H75" s="9" t="n">
        <f aca="false">H$5*(1+A_pore*H$6*($A75/100))/(1-H$6*(1+((1-phimax_pore)/phimax_pore^2)*($A75/100))*($A75/100))</f>
        <v>1.37672988904133</v>
      </c>
      <c r="I75" s="9" t="n">
        <f aca="false">I$5*(1+A_pore*I$6*($A75/100))/(1-I$6*(1+((1-phimax_pore)/phimax_pore^2)*($A75/100))*($A75/100))</f>
        <v>1.37860595079591</v>
      </c>
      <c r="J75" s="9" t="n">
        <f aca="false">J$5*(1+A_pore*J$6*($A75/100))/(1-J$6*(1+((1-phimax_pore)/phimax_pore^2)*($A75/100))*($A75/100))</f>
        <v>1.3805169100084</v>
      </c>
      <c r="K75" s="9" t="n">
        <f aca="false">K$5*(1+A_pore*K$6*($A75/100))/(1-K$6*(1+((1-phimax_pore)/phimax_pore^2)*($A75/100))*($A75/100))</f>
        <v>1.38246386919051</v>
      </c>
      <c r="L75" s="9" t="n">
        <f aca="false">L$5*(1+A_pore*L$6*($A75/100))/(1-L$6*(1+((1-phimax_pore)/phimax_pore^2)*($A75/100))*($A75/100))</f>
        <v>1.3844479818886</v>
      </c>
      <c r="M75" s="9" t="n">
        <f aca="false">M$5*(1+A_pore*M$6*($A75/100))/(1-M$6*(1+((1-phimax_pore)/phimax_pore^2)*($A75/100))*($A75/100))</f>
        <v>1.38647045582985</v>
      </c>
      <c r="N75" s="9" t="n">
        <f aca="false">N$5*(1+A_pore*N$6*($A75/100))/(1-N$6*(1+((1-phimax_pore)/phimax_pore^2)*($A75/100))*($A75/100))</f>
        <v>1.38853255631099</v>
      </c>
      <c r="O75" s="9" t="n">
        <f aca="false">O$5*(1+A_pore*O$6*($A75/100))/(1-O$6*(1+((1-phimax_pore)/phimax_pore^2)*($A75/100))*($A75/100))</f>
        <v>1.39063560985198</v>
      </c>
      <c r="P75" s="9" t="n">
        <f aca="false">P$5*(1+A_pore*P$6*($A75/100))/(1-P$6*(1+((1-phimax_pore)/phimax_pore^2)*($A75/100))*($A75/100))</f>
        <v>1.39278100813955</v>
      </c>
      <c r="Q75" s="9" t="n">
        <f aca="false">Q$5*(1+A_pore*Q$6*($A75/100))/(1-Q$6*(1+((1-phimax_pore)/phimax_pore^2)*($A75/100))*($A75/100))</f>
        <v>1.39497021228807</v>
      </c>
      <c r="R75" s="9" t="n">
        <f aca="false">R$5*(1+A_pore*R$6*($A75/100))/(1-R$6*(1+((1-phimax_pore)/phimax_pore^2)*($A75/100))*($A75/100))</f>
        <v>1.39720475744847</v>
      </c>
      <c r="S75" s="9" t="n">
        <f aca="false">S$5*(1+A_pore*S$6*($A75/100))/(1-S$6*(1+((1-phimax_pore)/phimax_pore^2)*($A75/100))*($A75/100))</f>
        <v>1.39948625779928</v>
      </c>
      <c r="T75" s="9" t="n">
        <f aca="false">T$5*(1+A_pore*T$6*($A75/100))/(1-T$6*(1+((1-phimax_pore)/phimax_pore^2)*($A75/100))*($A75/100))</f>
        <v>1.40181641195768</v>
      </c>
      <c r="U75" s="9" t="n">
        <f aca="false">U$5*(1+A_pore*U$6*($A75/100))/(1-U$6*(1+((1-phimax_pore)/phimax_pore^2)*($A75/100))*($A75/100))</f>
        <v>1.40419700885313</v>
      </c>
      <c r="V75" s="9" t="n">
        <f aca="false">V$5*(1+A_pore*V$6*($A75/100))/(1-V$6*(1+((1-phimax_pore)/phimax_pore^2)*($A75/100))*($A75/100))</f>
        <v>1.40662993411073</v>
      </c>
      <c r="W75" s="9" t="n">
        <f aca="false">W$5*(1+A_pore*W$6*($A75/100))/(1-W$6*(1+((1-phimax_pore)/phimax_pore^2)*($A75/100))*($A75/100))</f>
        <v>1.40911717699755</v>
      </c>
      <c r="X75" s="9" t="n">
        <f aca="false">X$5*(1+A_pore*X$6*($A75/100))/(1-X$6*(1+((1-phimax_pore)/phimax_pore^2)*($A75/100))*($A75/100))</f>
        <v>1.41166083799123</v>
      </c>
      <c r="Y75" s="9" t="n">
        <f aca="false">Y$5*(1+A_pore*Y$6*($A75/100))/(1-Y$6*(1+((1-phimax_pore)/phimax_pore^2)*($A75/100))*($A75/100))</f>
        <v>1.4142631370378</v>
      </c>
      <c r="Z75" s="9" t="n">
        <f aca="false">Z$5*(1+A_pore*Z$6*($A75/100))/(1-Z$6*(1+((1-phimax_pore)/phimax_pore^2)*($A75/100))*($A75/100))</f>
        <v>1.41692642257381</v>
      </c>
      <c r="AA75" s="9" t="n">
        <f aca="false">AA$5*(1+A_pore*AA$6*($A75/100))/(1-AA$6*(1+((1-phimax_pore)/phimax_pore^2)*($A75/100))*($A75/100))</f>
        <v>1.41965318139755</v>
      </c>
      <c r="AB75" s="9" t="n">
        <f aca="false">AB$5*(1+A_pore*AB$6*($A75/100))/(1-AB$6*(1+((1-phimax_pore)/phimax_pore^2)*($A75/100))*($A75/100))</f>
        <v>1.42244604948506</v>
      </c>
      <c r="AC75" s="9" t="n">
        <f aca="false">AC$5*(1+A_pore*AC$6*($A75/100))/(1-AC$6*(1+((1-phimax_pore)/phimax_pore^2)*($A75/100))*($A75/100))</f>
        <v>1.42530782385928</v>
      </c>
      <c r="AD75" s="9" t="n">
        <f aca="false">AD$5*(1+A_pore*AD$6*($A75/100))/(1-AD$6*(1+((1-phimax_pore)/phimax_pore^2)*($A75/100))*($A75/100))</f>
        <v>1.42824147563504</v>
      </c>
      <c r="AE75" s="9" t="n">
        <f aca="false">AE$5*(1+A_pore*AE$6*($A75/100))/(1-AE$6*(1+((1-phimax_pore)/phimax_pore^2)*($A75/100))*($A75/100))</f>
        <v>1.43125016437957</v>
      </c>
      <c r="AF75" s="9" t="n">
        <f aca="false">AF$5*(1+A_pore*AF$6*($A75/100))/(1-AF$6*(1+((1-phimax_pore)/phimax_pore^2)*($A75/100))*($A75/100))</f>
        <v>1.43433725394715</v>
      </c>
      <c r="AG75" s="9" t="n">
        <f aca="false">AG$5*(1+A_pore*AG$6*($A75/100))/(1-AG$6*(1+((1-phimax_pore)/phimax_pore^2)*($A75/100))*($A75/100))</f>
        <v>1.4375063299694</v>
      </c>
      <c r="AH75" s="9" t="n">
        <f aca="false">AH$5*(1+A_pore*AH$6*($A75/100))/(1-AH$6*(1+((1-phimax_pore)/phimax_pore^2)*($A75/100))*($A75/100))</f>
        <v>1.44076121920821</v>
      </c>
      <c r="AI75" s="9" t="n">
        <f aca="false">AI$5*(1+A_pore*AI$6*($A75/100))/(1-AI$6*(1+((1-phimax_pore)/phimax_pore^2)*($A75/100))*($A75/100))</f>
        <v>1.44410601100908</v>
      </c>
      <c r="AJ75" s="9" t="n">
        <f aca="false">AJ$5*(1+A_pore*AJ$6*($A75/100))/(1-AJ$6*(1+((1-phimax_pore)/phimax_pore^2)*($A75/100))*($A75/100))</f>
        <v>1.44754508112764</v>
      </c>
      <c r="AK75" s="9" t="n">
        <f aca="false">AK$5*(1+A_pore*AK$6*($A75/100))/(1-AK$6*(1+((1-phimax_pore)/phimax_pore^2)*($A75/100))*($A75/100))</f>
        <v>1.45108311824393</v>
      </c>
    </row>
    <row r="76" customFormat="false" ht="15" hidden="false" customHeight="false" outlineLevel="0" collapsed="false">
      <c r="A76" s="4" t="n">
        <v>67</v>
      </c>
      <c r="B76" s="9" t="n">
        <f aca="false">B$5*(1+A_pore*B$6*($A76/100))/(1-B$6*(1+((1-phimax_pore)/phimax_pore^2)*($A76/100))*($A76/100))</f>
        <v>1.35212105724048</v>
      </c>
      <c r="C76" s="9" t="n">
        <f aca="false">C$5*(1+A_pore*C$6*($A76/100))/(1-C$6*(1+((1-phimax_pore)/phimax_pore^2)*($A76/100))*($A76/100))</f>
        <v>1.35373432323706</v>
      </c>
      <c r="D76" s="9" t="n">
        <f aca="false">D$5*(1+A_pore*D$6*($A76/100))/(1-D$6*(1+((1-phimax_pore)/phimax_pore^2)*($A76/100))*($A76/100))</f>
        <v>1.35537547738962</v>
      </c>
      <c r="E76" s="9" t="n">
        <f aca="false">E$5*(1+A_pore*E$6*($A76/100))/(1-E$6*(1+((1-phimax_pore)/phimax_pore^2)*($A76/100))*($A76/100))</f>
        <v>1.35704533248016</v>
      </c>
      <c r="F76" s="9" t="n">
        <f aca="false">F$5*(1+A_pore*F$6*($A76/100))/(1-F$6*(1+((1-phimax_pore)/phimax_pore^2)*($A76/100))*($A76/100))</f>
        <v>1.35874473591792</v>
      </c>
      <c r="G76" s="9" t="n">
        <f aca="false">G$5*(1+A_pore*G$6*($A76/100))/(1-G$6*(1+((1-phimax_pore)/phimax_pore^2)*($A76/100))*($A76/100))</f>
        <v>1.36047457170511</v>
      </c>
      <c r="H76" s="9" t="n">
        <f aca="false">H$5*(1+A_pore*H$6*($A76/100))/(1-H$6*(1+((1-phimax_pore)/phimax_pore^2)*($A76/100))*($A76/100))</f>
        <v>1.36223576254258</v>
      </c>
      <c r="I76" s="9" t="n">
        <f aca="false">I$5*(1+A_pore*I$6*($A76/100))/(1-I$6*(1+((1-phimax_pore)/phimax_pore^2)*($A76/100))*($A76/100))</f>
        <v>1.3640292720869</v>
      </c>
      <c r="J76" s="9" t="n">
        <f aca="false">J$5*(1+A_pore*J$6*($A76/100))/(1-J$6*(1+((1-phimax_pore)/phimax_pore^2)*($A76/100))*($A76/100))</f>
        <v>1.36585610737234</v>
      </c>
      <c r="K76" s="9" t="n">
        <f aca="false">K$5*(1+A_pore*K$6*($A76/100))/(1-K$6*(1+((1-phimax_pore)/phimax_pore^2)*($A76/100))*($A76/100))</f>
        <v>1.36771732141201</v>
      </c>
      <c r="L76" s="9" t="n">
        <f aca="false">L$5*(1+A_pore*L$6*($A76/100))/(1-L$6*(1+((1-phimax_pore)/phimax_pore^2)*($A76/100))*($A76/100))</f>
        <v>1.36961401599404</v>
      </c>
      <c r="M76" s="9" t="n">
        <f aca="false">M$5*(1+A_pore*M$6*($A76/100))/(1-M$6*(1+((1-phimax_pore)/phimax_pore^2)*($A76/100))*($A76/100))</f>
        <v>1.37154734469052</v>
      </c>
      <c r="N76" s="9" t="n">
        <f aca="false">N$5*(1+A_pore*N$6*($A76/100))/(1-N$6*(1+((1-phimax_pore)/phimax_pore^2)*($A76/100))*($A76/100))</f>
        <v>1.37351851609835</v>
      </c>
      <c r="O76" s="9" t="n">
        <f aca="false">O$5*(1+A_pore*O$6*($A76/100))/(1-O$6*(1+((1-phimax_pore)/phimax_pore^2)*($A76/100))*($A76/100))</f>
        <v>1.37552879733377</v>
      </c>
      <c r="P76" s="9" t="n">
        <f aca="false">P$5*(1+A_pore*P$6*($A76/100))/(1-P$6*(1+((1-phimax_pore)/phimax_pore^2)*($A76/100))*($A76/100))</f>
        <v>1.37757951780415</v>
      </c>
      <c r="Q76" s="9" t="n">
        <f aca="false">Q$5*(1+A_pore*Q$6*($A76/100))/(1-Q$6*(1+((1-phimax_pore)/phimax_pore^2)*($A76/100))*($A76/100))</f>
        <v>1.37967207328341</v>
      </c>
      <c r="R76" s="9" t="n">
        <f aca="false">R$5*(1+A_pore*R$6*($A76/100))/(1-R$6*(1+((1-phimax_pore)/phimax_pore^2)*($A76/100))*($A76/100))</f>
        <v>1.38180793032061</v>
      </c>
      <c r="S76" s="9" t="n">
        <f aca="false">S$5*(1+A_pore*S$6*($A76/100))/(1-S$6*(1+((1-phimax_pore)/phimax_pore^2)*($A76/100))*($A76/100))</f>
        <v>1.38398863101408</v>
      </c>
      <c r="T76" s="9" t="n">
        <f aca="false">T$5*(1+A_pore*T$6*($A76/100))/(1-T$6*(1+((1-phimax_pore)/phimax_pore^2)*($A76/100))*($A76/100))</f>
        <v>1.38621579818762</v>
      </c>
      <c r="U76" s="9" t="n">
        <f aca="false">U$5*(1+A_pore*U$6*($A76/100))/(1-U$6*(1+((1-phimax_pore)/phimax_pore^2)*($A76/100))*($A76/100))</f>
        <v>1.38849114100924</v>
      </c>
      <c r="V76" s="9" t="n">
        <f aca="false">V$5*(1+A_pore*V$6*($A76/100))/(1-V$6*(1+((1-phimax_pore)/phimax_pore^2)*($A76/100))*($A76/100))</f>
        <v>1.39081646109786</v>
      </c>
      <c r="W76" s="9" t="n">
        <f aca="false">W$5*(1+A_pore*W$6*($A76/100))/(1-W$6*(1+((1-phimax_pore)/phimax_pore^2)*($A76/100))*($A76/100))</f>
        <v>1.39319365916866</v>
      </c>
      <c r="X76" s="9" t="n">
        <f aca="false">X$5*(1+A_pore*X$6*($A76/100))/(1-X$6*(1+((1-phimax_pore)/phimax_pore^2)*($A76/100))*($A76/100))</f>
        <v>1.39562474227415</v>
      </c>
      <c r="Y76" s="9" t="n">
        <f aca="false">Y$5*(1+A_pore*Y$6*($A76/100))/(1-Y$6*(1+((1-phimax_pore)/phimax_pore^2)*($A76/100))*($A76/100))</f>
        <v>1.39811183170472</v>
      </c>
      <c r="Z76" s="9" t="n">
        <f aca="false">Z$5*(1+A_pore*Z$6*($A76/100))/(1-Z$6*(1+((1-phimax_pore)/phimax_pore^2)*($A76/100))*($A76/100))</f>
        <v>1.40065717162077</v>
      </c>
      <c r="AA76" s="9" t="n">
        <f aca="false">AA$5*(1+A_pore*AA$6*($A76/100))/(1-AA$6*(1+((1-phimax_pore)/phimax_pore^2)*($A76/100))*($A76/100))</f>
        <v>1.40326313849762</v>
      </c>
      <c r="AB76" s="9" t="n">
        <f aca="false">AB$5*(1+A_pore*AB$6*($A76/100))/(1-AB$6*(1+((1-phimax_pore)/phimax_pore^2)*($A76/100))*($A76/100))</f>
        <v>1.40593225147454</v>
      </c>
      <c r="AC76" s="9" t="n">
        <f aca="false">AC$5*(1+A_pore*AC$6*($A76/100))/(1-AC$6*(1+((1-phimax_pore)/phimax_pore^2)*($A76/100))*($A76/100))</f>
        <v>1.40866718371201</v>
      </c>
      <c r="AD76" s="9" t="n">
        <f aca="false">AD$5*(1+A_pore*AD$6*($A76/100))/(1-AD$6*(1+((1-phimax_pore)/phimax_pore^2)*($A76/100))*($A76/100))</f>
        <v>1.41147077487432</v>
      </c>
      <c r="AE76" s="9" t="n">
        <f aca="false">AE$5*(1+A_pore*AE$6*($A76/100))/(1-AE$6*(1+((1-phimax_pore)/phimax_pore^2)*($A76/100))*($A76/100))</f>
        <v>1.41434604487148</v>
      </c>
      <c r="AF76" s="9" t="n">
        <f aca="false">AF$5*(1+A_pore*AF$6*($A76/100))/(1-AF$6*(1+((1-phimax_pore)/phimax_pore^2)*($A76/100))*($A76/100))</f>
        <v>1.41729620901221</v>
      </c>
      <c r="AG76" s="9" t="n">
        <f aca="false">AG$5*(1+A_pore*AG$6*($A76/100))/(1-AG$6*(1+((1-phimax_pore)/phimax_pore^2)*($A76/100))*($A76/100))</f>
        <v>1.42032469474173</v>
      </c>
      <c r="AH76" s="9" t="n">
        <f aca="false">AH$5*(1+A_pore*AH$6*($A76/100))/(1-AH$6*(1+((1-phimax_pore)/phimax_pore^2)*($A76/100))*($A76/100))</f>
        <v>1.42343516016262</v>
      </c>
      <c r="AI76" s="9" t="n">
        <f aca="false">AI$5*(1+A_pore*AI$6*($A76/100))/(1-AI$6*(1+((1-phimax_pore)/phimax_pore^2)*($A76/100))*($A76/100))</f>
        <v>1.42663151456634</v>
      </c>
      <c r="AJ76" s="9" t="n">
        <f aca="false">AJ$5*(1+A_pore*AJ$6*($A76/100))/(1-AJ$6*(1+((1-phimax_pore)/phimax_pore^2)*($A76/100))*($A76/100))</f>
        <v>1.4299179412366</v>
      </c>
      <c r="AK76" s="9" t="n">
        <f aca="false">AK$5*(1+A_pore*AK$6*($A76/100))/(1-AK$6*(1+((1-phimax_pore)/phimax_pore^2)*($A76/100))*($A76/100))</f>
        <v>1.4332989228257</v>
      </c>
    </row>
    <row r="77" customFormat="false" ht="15" hidden="false" customHeight="false" outlineLevel="0" collapsed="false">
      <c r="A77" s="4" t="n">
        <v>68</v>
      </c>
      <c r="B77" s="9" t="n">
        <f aca="false">B$5*(1+A_pore*B$6*($A77/100))/(1-B$6*(1+((1-phimax_pore)/phimax_pore^2)*($A77/100))*($A77/100))</f>
        <v>1.33832711855505</v>
      </c>
      <c r="C77" s="9" t="n">
        <f aca="false">C$5*(1+A_pore*C$6*($A77/100))/(1-C$6*(1+((1-phimax_pore)/phimax_pore^2)*($A77/100))*($A77/100))</f>
        <v>1.33986833400761</v>
      </c>
      <c r="D77" s="9" t="n">
        <f aca="false">D$5*(1+A_pore*D$6*($A77/100))/(1-D$6*(1+((1-phimax_pore)/phimax_pore^2)*($A77/100))*($A77/100))</f>
        <v>1.34143616114568</v>
      </c>
      <c r="E77" s="9" t="n">
        <f aca="false">E$5*(1+A_pore*E$6*($A77/100))/(1-E$6*(1+((1-phimax_pore)/phimax_pore^2)*($A77/100))*($A77/100))</f>
        <v>1.34303137558127</v>
      </c>
      <c r="F77" s="9" t="n">
        <f aca="false">F$5*(1+A_pore*F$6*($A77/100))/(1-F$6*(1+((1-phimax_pore)/phimax_pore^2)*($A77/100))*($A77/100))</f>
        <v>1.34465478598979</v>
      </c>
      <c r="G77" s="9" t="n">
        <f aca="false">G$5*(1+A_pore*G$6*($A77/100))/(1-G$6*(1+((1-phimax_pore)/phimax_pore^2)*($A77/100))*($A77/100))</f>
        <v>1.34630723598841</v>
      </c>
      <c r="H77" s="9" t="n">
        <f aca="false">H$5*(1+A_pore*H$6*($A77/100))/(1-H$6*(1+((1-phimax_pore)/phimax_pore^2)*($A77/100))*($A77/100))</f>
        <v>1.34798960614789</v>
      </c>
      <c r="I77" s="9" t="n">
        <f aca="false">I$5*(1+A_pore*I$6*($A77/100))/(1-I$6*(1+((1-phimax_pore)/phimax_pore^2)*($A77/100))*($A77/100))</f>
        <v>1.34970281614943</v>
      </c>
      <c r="J77" s="9" t="n">
        <f aca="false">J$5*(1+A_pore*J$6*($A77/100))/(1-J$6*(1+((1-phimax_pore)/phimax_pore^2)*($A77/100))*($A77/100))</f>
        <v>1.35144782709899</v>
      </c>
      <c r="K77" s="9" t="n">
        <f aca="false">K$5*(1+A_pore*K$6*($A77/100))/(1-K$6*(1+((1-phimax_pore)/phimax_pore^2)*($A77/100))*($A77/100))</f>
        <v>1.35322564401301</v>
      </c>
      <c r="L77" s="9" t="n">
        <f aca="false">L$5*(1+A_pore*L$6*($A77/100))/(1-L$6*(1+((1-phimax_pore)/phimax_pore^2)*($A77/100))*($A77/100))</f>
        <v>1.35503731849054</v>
      </c>
      <c r="M77" s="9" t="n">
        <f aca="false">M$5*(1+A_pore*M$6*($A77/100))/(1-M$6*(1+((1-phimax_pore)/phimax_pore^2)*($A77/100))*($A77/100))</f>
        <v>1.35688395158874</v>
      </c>
      <c r="N77" s="9" t="n">
        <f aca="false">N$5*(1+A_pore*N$6*($A77/100))/(1-N$6*(1+((1-phimax_pore)/phimax_pore^2)*($A77/100))*($A77/100))</f>
        <v>1.35876669692036</v>
      </c>
      <c r="O77" s="9" t="n">
        <f aca="false">O$5*(1+A_pore*O$6*($A77/100))/(1-O$6*(1+((1-phimax_pore)/phimax_pore^2)*($A77/100))*($A77/100))</f>
        <v>1.36068676399343</v>
      </c>
      <c r="P77" s="9" t="n">
        <f aca="false">P$5*(1+A_pore*P$6*($A77/100))/(1-P$6*(1+((1-phimax_pore)/phimax_pore^2)*($A77/100))*($A77/100))</f>
        <v>1.36264542181633</v>
      </c>
      <c r="Q77" s="9" t="n">
        <f aca="false">Q$5*(1+A_pore*Q$6*($A77/100))/(1-Q$6*(1+((1-phimax_pore)/phimax_pore^2)*($A77/100))*($A77/100))</f>
        <v>1.36464400279312</v>
      </c>
      <c r="R77" s="9" t="n">
        <f aca="false">R$5*(1+A_pore*R$6*($A77/100))/(1-R$6*(1+((1-phimax_pore)/phimax_pore^2)*($A77/100))*($A77/100))</f>
        <v>1.36668390693737</v>
      </c>
      <c r="S77" s="9" t="n">
        <f aca="false">S$5*(1+A_pore*S$6*($A77/100))/(1-S$6*(1+((1-phimax_pore)/phimax_pore^2)*($A77/100))*($A77/100))</f>
        <v>1.36876660643568</v>
      </c>
      <c r="T77" s="9" t="n">
        <f aca="false">T$5*(1+A_pore*T$6*($A77/100))/(1-T$6*(1+((1-phimax_pore)/phimax_pore^2)*($A77/100))*($A77/100))</f>
        <v>1.37089365059561</v>
      </c>
      <c r="U77" s="9" t="n">
        <f aca="false">U$5*(1+A_pore*U$6*($A77/100))/(1-U$6*(1+((1-phimax_pore)/phimax_pore^2)*($A77/100))*($A77/100))</f>
        <v>1.3730666712168</v>
      </c>
      <c r="V77" s="9" t="n">
        <f aca="false">V$5*(1+A_pore*V$6*($A77/100))/(1-V$6*(1+((1-phimax_pore)/phimax_pore^2)*($A77/100))*($A77/100))</f>
        <v>1.37528738842882</v>
      </c>
      <c r="W77" s="9" t="n">
        <f aca="false">W$5*(1+A_pore*W$6*($A77/100))/(1-W$6*(1+((1-phimax_pore)/phimax_pore^2)*($A77/100))*($A77/100))</f>
        <v>1.3775576170441</v>
      </c>
      <c r="X77" s="9" t="n">
        <f aca="false">X$5*(1+A_pore*X$6*($A77/100))/(1-X$6*(1+((1-phimax_pore)/phimax_pore^2)*($A77/100))*($A77/100))</f>
        <v>1.37987927348054</v>
      </c>
      <c r="Y77" s="9" t="n">
        <f aca="false">Y$5*(1+A_pore*Y$6*($A77/100))/(1-Y$6*(1+((1-phimax_pore)/phimax_pore^2)*($A77/100))*($A77/100))</f>
        <v>1.38225438331496</v>
      </c>
      <c r="Z77" s="9" t="n">
        <f aca="false">Z$5*(1+A_pore*Z$6*($A77/100))/(1-Z$6*(1+((1-phimax_pore)/phimax_pore^2)*($A77/100))*($A77/100))</f>
        <v>1.38468508953621</v>
      </c>
      <c r="AA77" s="9" t="n">
        <f aca="false">AA$5*(1+A_pore*AA$6*($A77/100))/(1-AA$6*(1+((1-phimax_pore)/phimax_pore^2)*($A77/100))*($A77/100))</f>
        <v>1.3871736615755</v>
      </c>
      <c r="AB77" s="9" t="n">
        <f aca="false">AB$5*(1+A_pore*AB$6*($A77/100))/(1-AB$6*(1+((1-phimax_pore)/phimax_pore^2)*($A77/100))*($A77/100))</f>
        <v>1.38972250520178</v>
      </c>
      <c r="AC77" s="9" t="n">
        <f aca="false">AC$5*(1+A_pore*AC$6*($A77/100))/(1-AC$6*(1+((1-phimax_pore)/phimax_pore^2)*($A77/100))*($A77/100))</f>
        <v>1.39233417338109</v>
      </c>
      <c r="AD77" s="9" t="n">
        <f aca="false">AD$5*(1+A_pore*AD$6*($A77/100))/(1-AD$6*(1+((1-phimax_pore)/phimax_pore^2)*($A77/100))*($A77/100))</f>
        <v>1.39501137821268</v>
      </c>
      <c r="AE77" s="9" t="n">
        <f aca="false">AE$5*(1+A_pore*AE$6*($A77/100))/(1-AE$6*(1+((1-phimax_pore)/phimax_pore^2)*($A77/100))*($A77/100))</f>
        <v>1.3977570040693</v>
      </c>
      <c r="AF77" s="9" t="n">
        <f aca="false">AF$5*(1+A_pore*AF$6*($A77/100))/(1-AF$6*(1+((1-phimax_pore)/phimax_pore^2)*($A77/100))*($A77/100))</f>
        <v>1.40057412208756</v>
      </c>
      <c r="AG77" s="9" t="n">
        <f aca="false">AG$5*(1+A_pore*AG$6*($A77/100))/(1-AG$6*(1+((1-phimax_pore)/phimax_pore^2)*($A77/100))*($A77/100))</f>
        <v>1.40346600617395</v>
      </c>
      <c r="AH77" s="9" t="n">
        <f aca="false">AH$5*(1+A_pore*AH$6*($A77/100))/(1-AH$6*(1+((1-phimax_pore)/phimax_pore^2)*($A77/100))*($A77/100))</f>
        <v>1.40643615071667</v>
      </c>
      <c r="AI77" s="9" t="n">
        <f aca="false">AI$5*(1+A_pore*AI$6*($A77/100))/(1-AI$6*(1+((1-phimax_pore)/phimax_pore^2)*($A77/100))*($A77/100))</f>
        <v>1.40948829022068</v>
      </c>
      <c r="AJ77" s="9" t="n">
        <f aca="false">AJ$5*(1+A_pore*AJ$6*($A77/100))/(1-AJ$6*(1+((1-phimax_pore)/phimax_pore^2)*($A77/100))*($A77/100))</f>
        <v>1.41262642111612</v>
      </c>
      <c r="AK77" s="9" t="n">
        <f aca="false">AK$5*(1+A_pore*AK$6*($A77/100))/(1-AK$6*(1+((1-phimax_pore)/phimax_pore^2)*($A77/100))*($A77/100))</f>
        <v>1.41585482602788</v>
      </c>
    </row>
    <row r="78" customFormat="false" ht="15" hidden="false" customHeight="false" outlineLevel="0" collapsed="false">
      <c r="A78" s="4" t="n">
        <v>69</v>
      </c>
      <c r="B78" s="9" t="n">
        <f aca="false">B$5*(1+A_pore*B$6*($A78/100))/(1-B$6*(1+((1-phimax_pore)/phimax_pore^2)*($A78/100))*($A78/100))</f>
        <v>1.32476268158397</v>
      </c>
      <c r="C78" s="9" t="n">
        <f aca="false">C$5*(1+A_pore*C$6*($A78/100))/(1-C$6*(1+((1-phimax_pore)/phimax_pore^2)*($A78/100))*($A78/100))</f>
        <v>1.32623377729366</v>
      </c>
      <c r="D78" s="9" t="n">
        <f aca="false">D$5*(1+A_pore*D$6*($A78/100))/(1-D$6*(1+((1-phimax_pore)/phimax_pore^2)*($A78/100))*($A78/100))</f>
        <v>1.32773024583276</v>
      </c>
      <c r="E78" s="9" t="n">
        <f aca="false">E$5*(1+A_pore*E$6*($A78/100))/(1-E$6*(1+((1-phimax_pore)/phimax_pore^2)*($A78/100))*($A78/100))</f>
        <v>1.32925282676322</v>
      </c>
      <c r="F78" s="9" t="n">
        <f aca="false">F$5*(1+A_pore*F$6*($A78/100))/(1-F$6*(1+((1-phimax_pore)/phimax_pore^2)*($A78/100))*($A78/100))</f>
        <v>1.33080229119299</v>
      </c>
      <c r="G78" s="9" t="n">
        <f aca="false">G$5*(1+A_pore*G$6*($A78/100))/(1-G$6*(1+((1-phimax_pore)/phimax_pore^2)*($A78/100))*($A78/100))</f>
        <v>1.33237944356931</v>
      </c>
      <c r="H78" s="9" t="n">
        <f aca="false">H$5*(1+A_pore*H$6*($A78/100))/(1-H$6*(1+((1-phimax_pore)/phimax_pore^2)*($A78/100))*($A78/100))</f>
        <v>1.33398512359959</v>
      </c>
      <c r="I78" s="9" t="n">
        <f aca="false">I$5*(1+A_pore*I$6*($A78/100))/(1-I$6*(1+((1-phimax_pore)/phimax_pore^2)*($A78/100))*($A78/100))</f>
        <v>1.33562020831077</v>
      </c>
      <c r="J78" s="9" t="n">
        <f aca="false">J$5*(1+A_pore*J$6*($A78/100))/(1-J$6*(1+((1-phimax_pore)/phimax_pore^2)*($A78/100))*($A78/100))</f>
        <v>1.33728561425913</v>
      </c>
      <c r="K78" s="9" t="n">
        <f aca="false">K$5*(1+A_pore*K$6*($A78/100))/(1-K$6*(1+((1-phimax_pore)/phimax_pore^2)*($A78/100))*($A78/100))</f>
        <v>1.33898229990383</v>
      </c>
      <c r="L78" s="9" t="n">
        <f aca="false">L$5*(1+A_pore*L$6*($A78/100))/(1-L$6*(1+((1-phimax_pore)/phimax_pore^2)*($A78/100))*($A78/100))</f>
        <v>1.34071126815852</v>
      </c>
      <c r="M78" s="9" t="n">
        <f aca="false">M$5*(1+A_pore*M$6*($A78/100))/(1-M$6*(1+((1-phimax_pore)/phimax_pore^2)*($A78/100))*($A78/100))</f>
        <v>1.34247356913733</v>
      </c>
      <c r="N78" s="9" t="n">
        <f aca="false">N$5*(1+A_pore*N$6*($A78/100))/(1-N$6*(1+((1-phimax_pore)/phimax_pore^2)*($A78/100))*($A78/100))</f>
        <v>1.34427030311278</v>
      </c>
      <c r="O78" s="9" t="n">
        <f aca="false">O$5*(1+A_pore*O$6*($A78/100))/(1-O$6*(1+((1-phimax_pore)/phimax_pore^2)*($A78/100))*($A78/100))</f>
        <v>1.34610262370527</v>
      </c>
      <c r="P78" s="9" t="n">
        <f aca="false">P$5*(1+A_pore*P$6*($A78/100))/(1-P$6*(1+((1-phimax_pore)/phimax_pore^2)*($A78/100))*($A78/100))</f>
        <v>1.34797174132598</v>
      </c>
      <c r="Q78" s="9" t="n">
        <f aca="false">Q$5*(1+A_pore*Q$6*($A78/100))/(1-Q$6*(1+((1-phimax_pore)/phimax_pore^2)*($A78/100))*($A78/100))</f>
        <v>1.3498789268972</v>
      </c>
      <c r="R78" s="9" t="n">
        <f aca="false">R$5*(1+A_pore*R$6*($A78/100))/(1-R$6*(1+((1-phimax_pore)/phimax_pore^2)*($A78/100))*($A78/100))</f>
        <v>1.35182551587699</v>
      </c>
      <c r="S78" s="9" t="n">
        <f aca="false">S$5*(1+A_pore*S$6*($A78/100))/(1-S$6*(1+((1-phimax_pore)/phimax_pore^2)*($A78/100))*($A78/100))</f>
        <v>1.35381291261787</v>
      </c>
      <c r="T78" s="9" t="n">
        <f aca="false">T$5*(1+A_pore*T$6*($A78/100))/(1-T$6*(1+((1-phimax_pore)/phimax_pore^2)*($A78/100))*($A78/100))</f>
        <v>1.3558425950929</v>
      </c>
      <c r="U78" s="9" t="n">
        <f aca="false">U$5*(1+A_pore*U$6*($A78/100))/(1-U$6*(1+((1-phimax_pore)/phimax_pore^2)*($A78/100))*($A78/100))</f>
        <v>1.35791612002619</v>
      </c>
      <c r="V78" s="9" t="n">
        <f aca="false">V$5*(1+A_pore*V$6*($A78/100))/(1-V$6*(1+((1-phimax_pore)/phimax_pore^2)*($A78/100))*($A78/100))</f>
        <v>1.36003512846927</v>
      </c>
      <c r="W78" s="9" t="n">
        <f aca="false">W$5*(1+A_pore*W$6*($A78/100))/(1-W$6*(1+((1-phimax_pore)/phimax_pore^2)*($A78/100))*($A78/100))</f>
        <v>1.36220135186979</v>
      </c>
      <c r="X78" s="9" t="n">
        <f aca="false">X$5*(1+A_pore*X$6*($A78/100))/(1-X$6*(1+((1-phimax_pore)/phimax_pore^2)*($A78/100))*($A78/100))</f>
        <v>1.36441661868459</v>
      </c>
      <c r="Y78" s="9" t="n">
        <f aca="false">Y$5*(1+A_pore*Y$6*($A78/100))/(1-Y$6*(1+((1-phimax_pore)/phimax_pore^2)*($A78/100))*($A78/100))</f>
        <v>1.36668286159558</v>
      </c>
      <c r="Z78" s="9" t="n">
        <f aca="false">Z$5*(1+A_pore*Z$6*($A78/100))/(1-Z$6*(1+((1-phimax_pore)/phimax_pore^2)*($A78/100))*($A78/100))</f>
        <v>1.36900212539427</v>
      </c>
      <c r="AA78" s="9" t="n">
        <f aca="false">AA$5*(1+A_pore*AA$6*($A78/100))/(1-AA$6*(1+((1-phimax_pore)/phimax_pore^2)*($A78/100))*($A78/100))</f>
        <v>1.37137657560917</v>
      </c>
      <c r="AB78" s="9" t="n">
        <f aca="false">AB$5*(1+A_pore*AB$6*($A78/100))/(1-AB$6*(1+((1-phimax_pore)/phimax_pore^2)*($A78/100))*($A78/100))</f>
        <v>1.37380850795975</v>
      </c>
      <c r="AC78" s="9" t="n">
        <f aca="false">AC$5*(1+A_pore*AC$6*($A78/100))/(1-AC$6*(1+((1-phimax_pore)/phimax_pore^2)*($A78/100))*($A78/100))</f>
        <v>1.37630035873183</v>
      </c>
      <c r="AD78" s="9" t="n">
        <f aca="false">AD$5*(1+A_pore*AD$6*($A78/100))/(1-AD$6*(1+((1-phimax_pore)/phimax_pore^2)*($A78/100))*($A78/100))</f>
        <v>1.37885471618199</v>
      </c>
      <c r="AE78" s="9" t="n">
        <f aca="false">AE$5*(1+A_pore*AE$6*($A78/100))/(1-AE$6*(1+((1-phimax_pore)/phimax_pore^2)*($A78/100))*($A78/100))</f>
        <v>1.38147433309293</v>
      </c>
      <c r="AF78" s="9" t="n">
        <f aca="false">AF$5*(1+A_pore*AF$6*($A78/100))/(1-AF$6*(1+((1-phimax_pore)/phimax_pore^2)*($A78/100))*($A78/100))</f>
        <v>1.38416214061912</v>
      </c>
      <c r="AG78" s="9" t="n">
        <f aca="false">AG$5*(1+A_pore*AG$6*($A78/100))/(1-AG$6*(1+((1-phimax_pore)/phimax_pore^2)*($A78/100))*($A78/100))</f>
        <v>1.38692126358114</v>
      </c>
      <c r="AH78" s="9" t="n">
        <f aca="false">AH$5*(1+A_pore*AH$6*($A78/100))/(1-AH$6*(1+((1-phimax_pore)/phimax_pore^2)*($A78/100))*($A78/100))</f>
        <v>1.38975503739049</v>
      </c>
      <c r="AI78" s="9" t="n">
        <f aca="false">AI$5*(1+A_pore*AI$6*($A78/100))/(1-AI$6*(1+((1-phimax_pore)/phimax_pore^2)*($A78/100))*($A78/100))</f>
        <v>1.39266702681253</v>
      </c>
      <c r="AJ78" s="9" t="n">
        <f aca="false">AJ$5*(1+A_pore*AJ$6*($A78/100))/(1-AJ$6*(1+((1-phimax_pore)/phimax_pore^2)*($A78/100))*($A78/100))</f>
        <v>1.39566104680686</v>
      </c>
      <c r="AK78" s="9" t="n">
        <f aca="false">AK$5*(1+A_pore*AK$6*($A78/100))/(1-AK$6*(1+((1-phimax_pore)/phimax_pore^2)*($A78/100))*($A78/100))</f>
        <v>1.39874118572029</v>
      </c>
    </row>
    <row r="79" customFormat="false" ht="15" hidden="false" customHeight="false" outlineLevel="0" collapsed="false">
      <c r="A79" s="4" t="n">
        <v>70</v>
      </c>
      <c r="B79" s="9" t="n">
        <f aca="false">B$5*(1+A_pore*B$6*($A79/100))/(1-B$6*(1+((1-phimax_pore)/phimax_pore^2)*($A79/100))*($A79/100))</f>
        <v>1.31142207808104</v>
      </c>
      <c r="C79" s="9" t="n">
        <f aca="false">C$5*(1+A_pore*C$6*($A79/100))/(1-C$6*(1+((1-phimax_pore)/phimax_pore^2)*($A79/100))*($A79/100))</f>
        <v>1.3128249191815</v>
      </c>
      <c r="D79" s="9" t="n">
        <f aca="false">D$5*(1+A_pore*D$6*($A79/100))/(1-D$6*(1+((1-phimax_pore)/phimax_pore^2)*($A79/100))*($A79/100))</f>
        <v>1.3142519304234</v>
      </c>
      <c r="E79" s="9" t="n">
        <f aca="false">E$5*(1+A_pore*E$6*($A79/100))/(1-E$6*(1+((1-phimax_pore)/phimax_pore^2)*($A79/100))*($A79/100))</f>
        <v>1.31570381639272</v>
      </c>
      <c r="F79" s="9" t="n">
        <f aca="false">F$5*(1+A_pore*F$6*($A79/100))/(1-F$6*(1+((1-phimax_pore)/phimax_pore^2)*($A79/100))*($A79/100))</f>
        <v>1.31718131174836</v>
      </c>
      <c r="G79" s="9" t="n">
        <f aca="false">G$5*(1+A_pore*G$6*($A79/100))/(1-G$6*(1+((1-phimax_pore)/phimax_pore^2)*($A79/100))*($A79/100))</f>
        <v>1.31868518293291</v>
      </c>
      <c r="H79" s="9" t="n">
        <f aca="false">H$5*(1+A_pore*H$6*($A79/100))/(1-H$6*(1+((1-phimax_pore)/phimax_pore^2)*($A79/100))*($A79/100))</f>
        <v>1.32021623000506</v>
      </c>
      <c r="I79" s="9" t="n">
        <f aca="false">I$5*(1+A_pore*I$6*($A79/100))/(1-I$6*(1+((1-phimax_pore)/phimax_pore^2)*($A79/100))*($A79/100))</f>
        <v>1.32177528860426</v>
      </c>
      <c r="J79" s="9" t="n">
        <f aca="false">J$5*(1+A_pore*J$6*($A79/100))/(1-J$6*(1+((1-phimax_pore)/phimax_pore^2)*($A79/100))*($A79/100))</f>
        <v>1.32336323205895</v>
      </c>
      <c r="K79" s="9" t="n">
        <f aca="false">K$5*(1+A_pore*K$6*($A79/100))/(1-K$6*(1+((1-phimax_pore)/phimax_pore^2)*($A79/100))*($A79/100))</f>
        <v>1.32498097365109</v>
      </c>
      <c r="L79" s="9" t="n">
        <f aca="false">L$5*(1+A_pore*L$6*($A79/100))/(1-L$6*(1+((1-phimax_pore)/phimax_pore^2)*($A79/100))*($A79/100))</f>
        <v>1.32662946905064</v>
      </c>
      <c r="M79" s="9" t="n">
        <f aca="false">M$5*(1+A_pore*M$6*($A79/100))/(1-M$6*(1+((1-phimax_pore)/phimax_pore^2)*($A79/100))*($A79/100))</f>
        <v>1.32830971893564</v>
      </c>
      <c r="N79" s="9" t="n">
        <f aca="false">N$5*(1+A_pore*N$6*($A79/100))/(1-N$6*(1+((1-phimax_pore)/phimax_pore^2)*($A79/100))*($A79/100))</f>
        <v>1.33002277181446</v>
      </c>
      <c r="O79" s="9" t="n">
        <f aca="false">O$5*(1+A_pore*O$6*($A79/100))/(1-O$6*(1+((1-phimax_pore)/phimax_pore^2)*($A79/100))*($A79/100))</f>
        <v>1.3317697270693</v>
      </c>
      <c r="P79" s="9" t="n">
        <f aca="false">P$5*(1+A_pore*P$6*($A79/100))/(1-P$6*(1+((1-phimax_pore)/phimax_pore^2)*($A79/100))*($A79/100))</f>
        <v>1.33355173824144</v>
      </c>
      <c r="Q79" s="9" t="n">
        <f aca="false">Q$5*(1+A_pore*Q$6*($A79/100))/(1-Q$6*(1+((1-phimax_pore)/phimax_pore^2)*($A79/100))*($A79/100))</f>
        <v>1.33537001658144</v>
      </c>
      <c r="R79" s="9" t="n">
        <f aca="false">R$5*(1+A_pore*R$6*($A79/100))/(1-R$6*(1+((1-phimax_pore)/phimax_pore^2)*($A79/100))*($A79/100))</f>
        <v>1.33722583488977</v>
      </c>
      <c r="S79" s="9" t="n">
        <f aca="false">S$5*(1+A_pore*S$6*($A79/100))/(1-S$6*(1+((1-phimax_pore)/phimax_pore^2)*($A79/100))*($A79/100))</f>
        <v>1.3391205316765</v>
      </c>
      <c r="T79" s="9" t="n">
        <f aca="false">T$5*(1+A_pore*T$6*($A79/100))/(1-T$6*(1+((1-phimax_pore)/phimax_pore^2)*($A79/100))*($A79/100))</f>
        <v>1.34105551567159</v>
      </c>
      <c r="U79" s="9" t="n">
        <f aca="false">U$5*(1+A_pore*U$6*($A79/100))/(1-U$6*(1+((1-phimax_pore)/phimax_pore^2)*($A79/100))*($A79/100))</f>
        <v>1.34303227072136</v>
      </c>
      <c r="V79" s="9" t="n">
        <f aca="false">V$5*(1+A_pore*V$6*($A79/100))/(1-V$6*(1+((1-phimax_pore)/phimax_pore^2)*($A79/100))*($A79/100))</f>
        <v>1.34505236111068</v>
      </c>
      <c r="W79" s="9" t="n">
        <f aca="false">W$5*(1+A_pore*W$6*($A79/100))/(1-W$6*(1+((1-phimax_pore)/phimax_pore^2)*($A79/100))*($A79/100))</f>
        <v>1.34711743735517</v>
      </c>
      <c r="X79" s="9" t="n">
        <f aca="false">X$5*(1+A_pore*X$6*($A79/100))/(1-X$6*(1+((1-phimax_pore)/phimax_pore^2)*($A79/100))*($A79/100))</f>
        <v>1.34922924251322</v>
      </c>
      <c r="Y79" s="9" t="n">
        <f aca="false">Y$5*(1+A_pore*Y$6*($A79/100))/(1-Y$6*(1+((1-phimax_pore)/phimax_pore^2)*($A79/100))*($A79/100))</f>
        <v>1.35138961907355</v>
      </c>
      <c r="Z79" s="9" t="n">
        <f aca="false">Z$5*(1+A_pore*Z$6*($A79/100))/(1-Z$6*(1+((1-phimax_pore)/phimax_pore^2)*($A79/100))*($A79/100))</f>
        <v>1.35360051648125</v>
      </c>
      <c r="AA79" s="9" t="n">
        <f aca="false">AA$5*(1+A_pore*AA$6*($A79/100))/(1-AA$6*(1+((1-phimax_pore)/phimax_pore^2)*($A79/100))*($A79/100))</f>
        <v>1.35586399937312</v>
      </c>
      <c r="AB79" s="9" t="n">
        <f aca="false">AB$5*(1+A_pore*AB$6*($A79/100))/(1-AB$6*(1+((1-phimax_pore)/phimax_pore^2)*($A79/100))*($A79/100))</f>
        <v>1.3581822566023</v>
      </c>
      <c r="AC79" s="9" t="n">
        <f aca="false">AC$5*(1+A_pore*AC$6*($A79/100))/(1-AC$6*(1+((1-phimax_pore)/phimax_pore^2)*($A79/100))*($A79/100))</f>
        <v>1.36055761114279</v>
      </c>
      <c r="AD79" s="9" t="n">
        <f aca="false">AD$5*(1+A_pore*AD$6*($A79/100))/(1-AD$6*(1+((1-phimax_pore)/phimax_pore^2)*($A79/100))*($A79/100))</f>
        <v>1.36299253097655</v>
      </c>
      <c r="AE79" s="9" t="n">
        <f aca="false">AE$5*(1+A_pore*AE$6*($A79/100))/(1-AE$6*(1+((1-phimax_pore)/phimax_pore^2)*($A79/100))*($A79/100))</f>
        <v>1.36548964107972</v>
      </c>
      <c r="AF79" s="9" t="n">
        <f aca="false">AF$5*(1+A_pore*AF$6*($A79/100))/(1-AF$6*(1+((1-phimax_pore)/phimax_pore^2)*($A79/100))*($A79/100))</f>
        <v>1.36805173664096</v>
      </c>
      <c r="AG79" s="9" t="n">
        <f aca="false">AG$5*(1+A_pore*AG$6*($A79/100))/(1-AG$6*(1+((1-phimax_pore)/phimax_pore^2)*($A79/100))*($A79/100))</f>
        <v>1.37068179766331</v>
      </c>
      <c r="AH79" s="9" t="n">
        <f aca="false">AH$5*(1+A_pore*AH$6*($A79/100))/(1-AH$6*(1+((1-phimax_pore)/phimax_pore^2)*($A79/100))*($A79/100))</f>
        <v>1.37338300512297</v>
      </c>
      <c r="AI79" s="9" t="n">
        <f aca="false">AI$5*(1+A_pore*AI$6*($A79/100))/(1-AI$6*(1+((1-phimax_pore)/phimax_pore^2)*($A79/100))*($A79/100))</f>
        <v>1.3761587588837</v>
      </c>
      <c r="AJ79" s="9" t="n">
        <f aca="false">AJ$5*(1+A_pore*AJ$6*($A79/100))/(1-AJ$6*(1+((1-phimax_pore)/phimax_pore^2)*($A79/100))*($A79/100))</f>
        <v>1.379012697595</v>
      </c>
      <c r="AK79" s="9" t="n">
        <f aca="false">AK$5*(1+A_pore*AK$6*($A79/100))/(1-AK$6*(1+((1-phimax_pore)/phimax_pore^2)*($A79/100))*($A79/100))</f>
        <v>1.38194872083716</v>
      </c>
    </row>
    <row r="80" customFormat="false" ht="15" hidden="false" customHeight="false" outlineLevel="0" collapsed="false">
      <c r="A80" s="4" t="n">
        <v>71</v>
      </c>
      <c r="B80" s="9" t="n">
        <f aca="false">B$5*(1+A_pore*B$6*($A80/100))/(1-B$6*(1+((1-phimax_pore)/phimax_pore^2)*($A80/100))*($A80/100))</f>
        <v>1.29829982493062</v>
      </c>
      <c r="C80" s="9" t="n">
        <f aca="false">C$5*(1+A_pore*C$6*($A80/100))/(1-C$6*(1+((1-phimax_pore)/phimax_pore^2)*($A80/100))*($A80/100))</f>
        <v>1.29963621361702</v>
      </c>
      <c r="D80" s="9" t="n">
        <f aca="false">D$5*(1+A_pore*D$6*($A80/100))/(1-D$6*(1+((1-phimax_pore)/phimax_pore^2)*($A80/100))*($A80/100))</f>
        <v>1.3009956045466</v>
      </c>
      <c r="E80" s="9" t="n">
        <f aca="false">E$5*(1+A_pore*E$6*($A80/100))/(1-E$6*(1+((1-phimax_pore)/phimax_pore^2)*($A80/100))*($A80/100))</f>
        <v>1.30237866835981</v>
      </c>
      <c r="F80" s="9" t="n">
        <f aca="false">F$5*(1+A_pore*F$6*($A80/100))/(1-F$6*(1+((1-phimax_pore)/phimax_pore^2)*($A80/100))*($A80/100))</f>
        <v>1.30378610433955</v>
      </c>
      <c r="G80" s="9" t="n">
        <f aca="false">G$5*(1+A_pore*G$6*($A80/100))/(1-G$6*(1+((1-phimax_pore)/phimax_pore^2)*($A80/100))*($A80/100))</f>
        <v>1.30521864204161</v>
      </c>
      <c r="H80" s="9" t="n">
        <f aca="false">H$5*(1+A_pore*H$6*($A80/100))/(1-H$6*(1+((1-phimax_pore)/phimax_pore^2)*($A80/100))*($A80/100))</f>
        <v>1.30667704304117</v>
      </c>
      <c r="I80" s="9" t="n">
        <f aca="false">I$5*(1+A_pore*I$6*($A80/100))/(1-I$6*(1+((1-phimax_pore)/phimax_pore^2)*($A80/100))*($A80/100))</f>
        <v>1.30816210280538</v>
      </c>
      <c r="J80" s="9" t="n">
        <f aca="false">J$5*(1+A_pore*J$6*($A80/100))/(1-J$6*(1+((1-phimax_pore)/phimax_pore^2)*($A80/100))*($A80/100))</f>
        <v>1.30967465270281</v>
      </c>
      <c r="K80" s="9" t="n">
        <f aca="false">K$5*(1+A_pore*K$6*($A80/100))/(1-K$6*(1+((1-phimax_pore)/phimax_pore^2)*($A80/100))*($A80/100))</f>
        <v>1.311215562162</v>
      </c>
      <c r="L80" s="9" t="n">
        <f aca="false">L$5*(1+A_pore*L$6*($A80/100))/(1-L$6*(1+((1-phimax_pore)/phimax_pore^2)*($A80/100))*($A80/100))</f>
        <v>1.31278574099209</v>
      </c>
      <c r="M80" s="9" t="n">
        <f aca="false">M$5*(1+A_pore*M$6*($A80/100))/(1-M$6*(1+((1-phimax_pore)/phimax_pore^2)*($A80/100))*($A80/100))</f>
        <v>1.3143861418804</v>
      </c>
      <c r="N80" s="9" t="n">
        <f aca="false">N$5*(1+A_pore*N$6*($A80/100))/(1-N$6*(1+((1-phimax_pore)/phimax_pore^2)*($A80/100))*($A80/100))</f>
        <v>1.31601776308287</v>
      </c>
      <c r="O80" s="9" t="n">
        <f aca="false">O$5*(1+A_pore*O$6*($A80/100))/(1-O$6*(1+((1-phimax_pore)/phimax_pore^2)*($A80/100))*($A80/100))</f>
        <v>1.31768165132545</v>
      </c>
      <c r="P80" s="9" t="n">
        <f aca="false">P$5*(1+A_pore*P$6*($A80/100))/(1-P$6*(1+((1-phimax_pore)/phimax_pore^2)*($A80/100))*($A80/100))</f>
        <v>1.31937890493617</v>
      </c>
      <c r="Q80" s="9" t="n">
        <f aca="false">Q$5*(1+A_pore*Q$6*($A80/100))/(1-Q$6*(1+((1-phimax_pore)/phimax_pore^2)*($A80/100))*($A80/100))</f>
        <v>1.32111067722973</v>
      </c>
      <c r="R80" s="9" t="n">
        <f aca="false">R$5*(1+A_pore*R$6*($A80/100))/(1-R$6*(1+((1-phimax_pore)/phimax_pore^2)*($A80/100))*($A80/100))</f>
        <v>1.32287818016934</v>
      </c>
      <c r="S80" s="9" t="n">
        <f aca="false">S$5*(1+A_pore*S$6*($A80/100))/(1-S$6*(1+((1-phimax_pore)/phimax_pore^2)*($A80/100))*($A80/100))</f>
        <v>1.32468268833259</v>
      </c>
      <c r="T80" s="9" t="n">
        <f aca="false">T$5*(1+A_pore*T$6*($A80/100))/(1-T$6*(1+((1-phimax_pore)/phimax_pore^2)*($A80/100))*($A80/100))</f>
        <v>1.326525543212</v>
      </c>
      <c r="U80" s="9" t="n">
        <f aca="false">U$5*(1+A_pore*U$6*($A80/100))/(1-U$6*(1+((1-phimax_pore)/phimax_pore^2)*($A80/100))*($A80/100))</f>
        <v>1.3284081578838</v>
      </c>
      <c r="V80" s="9" t="n">
        <f aca="false">V$5*(1+A_pore*V$6*($A80/100))/(1-V$6*(1+((1-phimax_pore)/phimax_pore^2)*($A80/100))*($A80/100))</f>
        <v>1.33033202208278</v>
      </c>
      <c r="W80" s="9" t="n">
        <f aca="false">W$5*(1+A_pore*W$6*($A80/100))/(1-W$6*(1+((1-phimax_pore)/phimax_pore^2)*($A80/100))*($A80/100))</f>
        <v>1.33229870772552</v>
      </c>
      <c r="X80" s="9" t="n">
        <f aca="false">X$5*(1+A_pore*X$6*($A80/100))/(1-X$6*(1+((1-phimax_pore)/phimax_pore^2)*($A80/100))*($A80/100))</f>
        <v>1.33430987492948</v>
      </c>
      <c r="Y80" s="9" t="n">
        <f aca="false">Y$5*(1+A_pore*Y$6*($A80/100))/(1-Y$6*(1+((1-phimax_pore)/phimax_pore^2)*($A80/100))*($A80/100))</f>
        <v>1.3363672785811</v>
      </c>
      <c r="Z80" s="9" t="n">
        <f aca="false">Z$5*(1+A_pore*Z$6*($A80/100))/(1-Z$6*(1+((1-phimax_pore)/phimax_pore^2)*($A80/100))*($A80/100))</f>
        <v>1.33847277551299</v>
      </c>
      <c r="AA80" s="9" t="n">
        <f aca="false">AA$5*(1+A_pore*AA$6*($A80/100))/(1-AA$6*(1+((1-phimax_pore)/phimax_pore^2)*($A80/100))*($A80/100))</f>
        <v>1.34062833235774</v>
      </c>
      <c r="AB80" s="9" t="n">
        <f aca="false">AB$5*(1+A_pore*AB$6*($A80/100))/(1-AB$6*(1+((1-phimax_pore)/phimax_pore^2)*($A80/100))*($A80/100))</f>
        <v>1.34283603415477</v>
      </c>
      <c r="AC80" s="9" t="n">
        <f aca="false">AC$5*(1+A_pore*AC$6*($A80/100))/(1-AC$6*(1+((1-phimax_pore)/phimax_pore^2)*($A80/100))*($A80/100))</f>
        <v>1.34509809379655</v>
      </c>
      <c r="AD80" s="9" t="n">
        <f aca="false">AD$5*(1+A_pore*AD$6*($A80/100))/(1-AD$6*(1+((1-phimax_pore)/phimax_pore^2)*($A80/100))*($A80/100))</f>
        <v>1.34741686241218</v>
      </c>
      <c r="AE80" s="9" t="n">
        <f aca="false">AE$5*(1+A_pore*AE$6*($A80/100))/(1-AE$6*(1+((1-phimax_pore)/phimax_pore^2)*($A80/100))*($A80/100))</f>
        <v>1.3497948407997</v>
      </c>
      <c r="AF80" s="9" t="n">
        <f aca="false">AF$5*(1+A_pore*AF$6*($A80/100))/(1-AF$6*(1+((1-phimax_pore)/phimax_pore^2)*($A80/100))*($A80/100))</f>
        <v>1.35223469203376</v>
      </c>
      <c r="AG80" s="9" t="n">
        <f aca="false">AG$5*(1+A_pore*AG$6*($A80/100))/(1-AG$6*(1+((1-phimax_pore)/phimax_pore^2)*($A80/100))*($A80/100))</f>
        <v>1.35473925539338</v>
      </c>
      <c r="AH80" s="9" t="n">
        <f aca="false">AH$5*(1+A_pore*AH$6*($A80/100))/(1-AH$6*(1+((1-phimax_pore)/phimax_pore^2)*($A80/100))*($A80/100))</f>
        <v>1.35731156177511</v>
      </c>
      <c r="AI80" s="9" t="n">
        <f aca="false">AI$5*(1+A_pore*AI$6*($A80/100))/(1-AI$6*(1+((1-phimax_pore)/phimax_pore^2)*($A80/100))*($A80/100))</f>
        <v>1.35995485078116</v>
      </c>
      <c r="AJ80" s="9" t="n">
        <f aca="false">AJ$5*(1+A_pore*AJ$6*($A80/100))/(1-AJ$6*(1+((1-phimax_pore)/phimax_pore^2)*($A80/100))*($A80/100))</f>
        <v>1.36267258970041</v>
      </c>
      <c r="AK80" s="9" t="n">
        <f aca="false">AK$5*(1+A_pore*AK$6*($A80/100))/(1-AK$6*(1+((1-phimax_pore)/phimax_pore^2)*($A80/100))*($A80/100))</f>
        <v>1.36546849463311</v>
      </c>
    </row>
    <row r="81" customFormat="false" ht="15" hidden="false" customHeight="false" outlineLevel="0" collapsed="false">
      <c r="A81" s="4" t="n">
        <v>72</v>
      </c>
      <c r="B81" s="9" t="n">
        <f aca="false">B$5*(1+A_pore*B$6*($A81/100))/(1-B$6*(1+((1-phimax_pore)/phimax_pore^2)*($A81/100))*($A81/100))</f>
        <v>1.28539061665064</v>
      </c>
      <c r="C81" s="9" t="n">
        <f aca="false">C$5*(1+A_pore*C$6*($A81/100))/(1-C$6*(1+((1-phimax_pore)/phimax_pore^2)*($A81/100))*($A81/100))</f>
        <v>1.28666229477469</v>
      </c>
      <c r="D81" s="9" t="n">
        <f aca="false">D$5*(1+A_pore*D$6*($A81/100))/(1-D$6*(1+((1-phimax_pore)/phimax_pore^2)*($A81/100))*($A81/100))</f>
        <v>1.28795584071898</v>
      </c>
      <c r="E81" s="9" t="n">
        <f aca="false">E$5*(1+A_pore*E$6*($A81/100))/(1-E$6*(1+((1-phimax_pore)/phimax_pore^2)*($A81/100))*($A81/100))</f>
        <v>1.28927189216747</v>
      </c>
      <c r="F81" s="9" t="n">
        <f aca="false">F$5*(1+A_pore*F$6*($A81/100))/(1-F$6*(1+((1-phimax_pore)/phimax_pore^2)*($A81/100))*($A81/100))</f>
        <v>1.29061111405692</v>
      </c>
      <c r="G81" s="9" t="n">
        <f aca="false">G$5*(1+A_pore*G$6*($A81/100))/(1-G$6*(1+((1-phimax_pore)/phimax_pore^2)*($A81/100))*($A81/100))</f>
        <v>1.29197420012922</v>
      </c>
      <c r="H81" s="9" t="n">
        <f aca="false">H$5*(1+A_pore*H$6*($A81/100))/(1-H$6*(1+((1-phimax_pore)/phimax_pore^2)*($A81/100))*($A81/100))</f>
        <v>1.2933618745943</v>
      </c>
      <c r="I81" s="9" t="n">
        <f aca="false">I$5*(1+A_pore*I$6*($A81/100))/(1-I$6*(1+((1-phimax_pore)/phimax_pore^2)*($A81/100))*($A81/100))</f>
        <v>1.29477489391318</v>
      </c>
      <c r="J81" s="9" t="n">
        <f aca="false">J$5*(1+A_pore*J$6*($A81/100))/(1-J$6*(1+((1-phimax_pore)/phimax_pore^2)*($A81/100))*($A81/100))</f>
        <v>1.29621404871141</v>
      </c>
      <c r="K81" s="9" t="n">
        <f aca="false">K$5*(1+A_pore*K$6*($A81/100))/(1-K$6*(1+((1-phimax_pore)/phimax_pore^2)*($A81/100))*($A81/100))</f>
        <v>1.29768016583445</v>
      </c>
      <c r="L81" s="9" t="n">
        <f aca="false">L$5*(1+A_pore*L$6*($A81/100))/(1-L$6*(1+((1-phimax_pore)/phimax_pore^2)*($A81/100))*($A81/100))</f>
        <v>1.29917411055761</v>
      </c>
      <c r="M81" s="9" t="n">
        <f aca="false">M$5*(1+A_pore*M$6*($A81/100))/(1-M$6*(1+((1-phimax_pore)/phimax_pore^2)*($A81/100))*($A81/100))</f>
        <v>1.30069678896446</v>
      </c>
      <c r="N81" s="9" t="n">
        <f aca="false">N$5*(1+A_pore*N$6*($A81/100))/(1-N$6*(1+((1-phimax_pore)/phimax_pore^2)*($A81/100))*($A81/100))</f>
        <v>1.30224915050906</v>
      </c>
      <c r="O81" s="9" t="n">
        <f aca="false">O$5*(1+A_pore*O$6*($A81/100))/(1-O$6*(1+((1-phimax_pore)/phimax_pore^2)*($A81/100))*($A81/100))</f>
        <v>1.3038321907791</v>
      </c>
      <c r="P81" s="9" t="n">
        <f aca="false">P$5*(1+A_pore*P$6*($A81/100))/(1-P$6*(1+((1-phimax_pore)/phimax_pore^2)*($A81/100))*($A81/100))</f>
        <v>1.30544695447888</v>
      </c>
      <c r="Q81" s="9" t="n">
        <f aca="false">Q$5*(1+A_pore*Q$6*($A81/100))/(1-Q$6*(1+((1-phimax_pore)/phimax_pore^2)*($A81/100))*($A81/100))</f>
        <v>1.30709453865291</v>
      </c>
      <c r="R81" s="9" t="n">
        <f aca="false">R$5*(1+A_pore*R$6*($A81/100))/(1-R$6*(1+((1-phimax_pore)/phimax_pore^2)*($A81/100))*($A81/100))</f>
        <v>1.30877609617358</v>
      </c>
      <c r="S81" s="9" t="n">
        <f aca="false">S$5*(1+A_pore*S$6*($A81/100))/(1-S$6*(1+((1-phimax_pore)/phimax_pore^2)*($A81/100))*($A81/100))</f>
        <v>1.31049283951866</v>
      </c>
      <c r="T81" s="9" t="n">
        <f aca="false">T$5*(1+A_pore*T$6*($A81/100))/(1-T$6*(1+((1-phimax_pore)/phimax_pore^2)*($A81/100))*($A81/100))</f>
        <v>1.3122460448676</v>
      </c>
      <c r="U81" s="9" t="n">
        <f aca="false">U$5*(1+A_pore*U$6*($A81/100))/(1-U$6*(1+((1-phimax_pore)/phimax_pore^2)*($A81/100))*($A81/100))</f>
        <v>1.31403705654873</v>
      </c>
      <c r="V81" s="9" t="n">
        <f aca="false">V$5*(1+A_pore*V$6*($A81/100))/(1-V$6*(1+((1-phimax_pore)/phimax_pore^2)*($A81/100))*($A81/100))</f>
        <v>1.31586729187344</v>
      </c>
      <c r="W81" s="9" t="n">
        <f aca="false">W$5*(1+A_pore*W$6*($A81/100))/(1-W$6*(1+((1-phimax_pore)/phimax_pore^2)*($A81/100))*($A81/100))</f>
        <v>1.31773824639766</v>
      </c>
      <c r="X81" s="9" t="n">
        <f aca="false">X$5*(1+A_pore*X$6*($A81/100))/(1-X$6*(1+((1-phimax_pore)/phimax_pore^2)*($A81/100))*($A81/100))</f>
        <v>1.31965149965574</v>
      </c>
      <c r="Y81" s="9" t="n">
        <f aca="false">Y$5*(1+A_pore*Y$6*($A81/100))/(1-Y$6*(1+((1-phimax_pore)/phimax_pore^2)*($A81/100))*($A81/100))</f>
        <v>1.32160872141765</v>
      </c>
      <c r="Z81" s="9" t="n">
        <f aca="false">Z$5*(1+A_pore*Z$6*($A81/100))/(1-Z$6*(1+((1-phimax_pore)/phimax_pore^2)*($A81/100))*($A81/100))</f>
        <v>1.32361167852657</v>
      </c>
      <c r="AA81" s="9" t="n">
        <f aca="false">AA$5*(1+A_pore*AA$6*($A81/100))/(1-AA$6*(1+((1-phimax_pore)/phimax_pore^2)*($A81/100))*($A81/100))</f>
        <v>1.32566224238131</v>
      </c>
      <c r="AB81" s="9" t="n">
        <f aca="false">AB$5*(1+A_pore*AB$6*($A81/100))/(1-AB$6*(1+((1-phimax_pore)/phimax_pore^2)*($A81/100))*($A81/100))</f>
        <v>1.32776239713638</v>
      </c>
      <c r="AC81" s="9" t="n">
        <f aca="false">AC$5*(1+A_pore*AC$6*($A81/100))/(1-AC$6*(1+((1-phimax_pore)/phimax_pore^2)*($A81/100))*($A81/100))</f>
        <v>1.32991424870204</v>
      </c>
      <c r="AD81" s="9" t="n">
        <f aca="false">AD$5*(1+A_pore*AD$6*($A81/100))/(1-AD$6*(1+((1-phimax_pore)/phimax_pore^2)*($A81/100))*($A81/100))</f>
        <v>1.33212003463766</v>
      </c>
      <c r="AE81" s="9" t="n">
        <f aca="false">AE$5*(1+A_pore*AE$6*($A81/100))/(1-AE$6*(1+((1-phimax_pore)/phimax_pore^2)*($A81/100))*($A81/100))</f>
        <v>1.33438213504461</v>
      </c>
      <c r="AF81" s="9" t="n">
        <f aca="false">AF$5*(1+A_pore*AF$6*($A81/100))/(1-AF$6*(1+((1-phimax_pore)/phimax_pore^2)*($A81/100))*($A81/100))</f>
        <v>1.33670308457936</v>
      </c>
      <c r="AG81" s="9" t="n">
        <f aca="false">AG$5*(1+A_pore*AG$6*($A81/100))/(1-AG$6*(1+((1-phimax_pore)/phimax_pore^2)*($A81/100))*($A81/100))</f>
        <v>1.3390855857248</v>
      </c>
      <c r="AH81" s="9" t="n">
        <f aca="false">AH$5*(1+A_pore*AH$6*($A81/100))/(1-AH$6*(1+((1-phimax_pore)/phimax_pore^2)*($A81/100))*($A81/100))</f>
        <v>1.34153252347721</v>
      </c>
      <c r="AI81" s="9" t="n">
        <f aca="false">AI$5*(1+A_pore*AI$6*($A81/100))/(1-AI$6*(1+((1-phimax_pore)/phimax_pore^2)*($A81/100))*($A81/100))</f>
        <v>1.34404698162982</v>
      </c>
      <c r="AJ81" s="9" t="n">
        <f aca="false">AJ$5*(1+A_pore*AJ$6*($A81/100))/(1-AJ$6*(1+((1-phimax_pore)/phimax_pore^2)*($A81/100))*($A81/100))</f>
        <v>1.34663226086042</v>
      </c>
      <c r="AK81" s="9" t="n">
        <f aca="false">AK$5*(1+A_pore*AK$6*($A81/100))/(1-AK$6*(1+((1-phimax_pore)/phimax_pore^2)*($A81/100))*($A81/100))</f>
        <v>1.34929189886235</v>
      </c>
    </row>
    <row r="82" customFormat="false" ht="15" hidden="false" customHeight="false" outlineLevel="0" collapsed="false">
      <c r="A82" s="4" t="n">
        <v>73</v>
      </c>
      <c r="B82" s="9" t="n">
        <f aca="false">B$5*(1+A_pore*B$6*($A82/100))/(1-B$6*(1+((1-phimax_pore)/phimax_pore^2)*($A82/100))*($A82/100))</f>
        <v>1.27268931825699</v>
      </c>
      <c r="C82" s="9" t="n">
        <f aca="false">C$5*(1+A_pore*C$6*($A82/100))/(1-C$6*(1+((1-phimax_pore)/phimax_pore^2)*($A82/100))*($A82/100))</f>
        <v>1.27389796979552</v>
      </c>
      <c r="D82" s="9" t="n">
        <f aca="false">D$5*(1+A_pore*D$6*($A82/100))/(1-D$6*(1+((1-phimax_pore)/phimax_pore^2)*($A82/100))*($A82/100))</f>
        <v>1.2751273869528</v>
      </c>
      <c r="E82" s="9" t="n">
        <f aca="false">E$5*(1+A_pore*E$6*($A82/100))/(1-E$6*(1+((1-phimax_pore)/phimax_pore^2)*($A82/100))*($A82/100))</f>
        <v>1.27637817540603</v>
      </c>
      <c r="F82" s="9" t="n">
        <f aca="false">F$5*(1+A_pore*F$6*($A82/100))/(1-F$6*(1+((1-phimax_pore)/phimax_pore^2)*($A82/100))*($A82/100))</f>
        <v>1.27765096673468</v>
      </c>
      <c r="G82" s="9" t="n">
        <f aca="false">G$5*(1+A_pore*G$6*($A82/100))/(1-G$6*(1+((1-phimax_pore)/phimax_pore^2)*($A82/100))*($A82/100))</f>
        <v>1.27894641989687</v>
      </c>
      <c r="H82" s="9" t="n">
        <f aca="false">H$5*(1+A_pore*H$6*($A82/100))/(1-H$6*(1+((1-phimax_pore)/phimax_pore^2)*($A82/100))*($A82/100))</f>
        <v>1.28026522281096</v>
      </c>
      <c r="I82" s="9" t="n">
        <f aca="false">I$5*(1+A_pore*I$6*($A82/100))/(1-I$6*(1+((1-phimax_pore)/phimax_pore^2)*($A82/100))*($A82/100))</f>
        <v>1.28160809405149</v>
      </c>
      <c r="J82" s="9" t="n">
        <f aca="false">J$5*(1+A_pore*J$6*($A82/100))/(1-J$6*(1+((1-phimax_pore)/phimax_pore^2)*($A82/100))*($A82/100))</f>
        <v>1.2829757846692</v>
      </c>
      <c r="K82" s="9" t="n">
        <f aca="false">K$5*(1+A_pore*K$6*($A82/100))/(1-K$6*(1+((1-phimax_pore)/phimax_pore^2)*($A82/100))*($A82/100))</f>
        <v>1.28436908014607</v>
      </c>
      <c r="L82" s="9" t="n">
        <f aca="false">L$5*(1+A_pore*L$6*($A82/100))/(1-L$6*(1+((1-phimax_pore)/phimax_pore^2)*($A82/100))*($A82/100))</f>
        <v>1.28578880249753</v>
      </c>
      <c r="M82" s="9" t="n">
        <f aca="false">M$5*(1+A_pore*M$6*($A82/100))/(1-M$6*(1+((1-phimax_pore)/phimax_pore^2)*($A82/100))*($A82/100))</f>
        <v>1.28723581253488</v>
      </c>
      <c r="N82" s="9" t="n">
        <f aca="false">N$5*(1+A_pore*N$6*($A82/100))/(1-N$6*(1+((1-phimax_pore)/phimax_pore^2)*($A82/100))*($A82/100))</f>
        <v>1.28871101230278</v>
      </c>
      <c r="O82" s="9" t="n">
        <f aca="false">O$5*(1+A_pore*O$6*($A82/100))/(1-O$6*(1+((1-phimax_pore)/phimax_pore^2)*($A82/100))*($A82/100))</f>
        <v>1.29021534770787</v>
      </c>
      <c r="P82" s="9" t="n">
        <f aca="false">P$5*(1+A_pore*P$6*($A82/100))/(1-P$6*(1+((1-phimax_pore)/phimax_pore^2)*($A82/100))*($A82/100))</f>
        <v>1.29174981135659</v>
      </c>
      <c r="Q82" s="9" t="n">
        <f aca="false">Q$5*(1+A_pore*Q$6*($A82/100))/(1-Q$6*(1+((1-phimax_pore)/phimax_pore^2)*($A82/100))*($A82/100))</f>
        <v>1.29331544562214</v>
      </c>
      <c r="R82" s="9" t="n">
        <f aca="false">R$5*(1+A_pore*R$6*($A82/100))/(1-R$6*(1+((1-phimax_pore)/phimax_pore^2)*($A82/100))*($A82/100))</f>
        <v>1.29491334596258</v>
      </c>
      <c r="S82" s="9" t="n">
        <f aca="false">S$5*(1+A_pore*S$6*($A82/100))/(1-S$6*(1+((1-phimax_pore)/phimax_pore^2)*($A82/100))*($A82/100))</f>
        <v>1.296544664515</v>
      </c>
      <c r="T82" s="9" t="n">
        <f aca="false">T$5*(1+A_pore*T$6*($A82/100))/(1-T$6*(1+((1-phimax_pore)/phimax_pore^2)*($A82/100))*($A82/100))</f>
        <v>1.29821061399295</v>
      </c>
      <c r="U82" s="9" t="n">
        <f aca="false">U$5*(1+A_pore*U$6*($A82/100))/(1-U$6*(1+((1-phimax_pore)/phimax_pore^2)*($A82/100))*($A82/100))</f>
        <v>1.29991247191795</v>
      </c>
      <c r="V82" s="9" t="n">
        <f aca="false">V$5*(1+A_pore*V$6*($A82/100))/(1-V$6*(1+((1-phimax_pore)/phimax_pore^2)*($A82/100))*($A82/100))</f>
        <v>1.30165158521943</v>
      </c>
      <c r="W82" s="9" t="n">
        <f aca="false">W$5*(1+A_pore*W$6*($A82/100))/(1-W$6*(1+((1-phimax_pore)/phimax_pore^2)*($A82/100))*($A82/100))</f>
        <v>1.30342937524116</v>
      </c>
      <c r="X82" s="9" t="n">
        <f aca="false">X$5*(1+A_pore*X$6*($A82/100))/(1-X$6*(1+((1-phimax_pore)/phimax_pore^2)*($A82/100))*($A82/100))</f>
        <v>1.30524734319765</v>
      </c>
      <c r="Y82" s="9" t="n">
        <f aca="false">Y$5*(1+A_pore*Y$6*($A82/100))/(1-Y$6*(1+((1-phimax_pore)/phimax_pore^2)*($A82/100))*($A82/100))</f>
        <v>1.3071070761285</v>
      </c>
      <c r="Z82" s="9" t="n">
        <f aca="false">Z$5*(1+A_pore*Z$6*($A82/100))/(1-Z$6*(1+((1-phimax_pore)/phimax_pore^2)*($A82/100))*($A82/100))</f>
        <v>1.30901025340528</v>
      </c>
      <c r="AA82" s="9" t="n">
        <f aca="false">AA$5*(1+A_pore*AA$6*($A82/100))/(1-AA$6*(1+((1-phimax_pore)/phimax_pore^2)*($A82/100))*($A82/100))</f>
        <v>1.31095865385235</v>
      </c>
      <c r="AB82" s="9" t="n">
        <f aca="false">AB$5*(1+A_pore*AB$6*($A82/100))/(1-AB$6*(1+((1-phimax_pore)/phimax_pore^2)*($A82/100))*($A82/100))</f>
        <v>1.3129541635507</v>
      </c>
      <c r="AC82" s="9" t="n">
        <f aca="false">AC$5*(1+A_pore*AC$6*($A82/100))/(1-AC$6*(1+((1-phimax_pore)/phimax_pore^2)*($A82/100))*($A82/100))</f>
        <v>1.31499878440347</v>
      </c>
      <c r="AD82" s="9" t="n">
        <f aca="false">AD$5*(1+A_pore*AD$6*($A82/100))/(1-AD$6*(1+((1-phimax_pore)/phimax_pore^2)*($A82/100))*($A82/100))</f>
        <v>1.31709464355185</v>
      </c>
      <c r="AE82" s="9" t="n">
        <f aca="false">AE$5*(1+A_pore*AE$6*($A82/100))/(1-AE$6*(1+((1-phimax_pore)/phimax_pore^2)*($A82/100))*($A82/100))</f>
        <v>1.31924400374258</v>
      </c>
      <c r="AF82" s="9" t="n">
        <f aca="false">AF$5*(1+A_pore*AF$6*($A82/100))/(1-AF$6*(1+((1-phimax_pore)/phimax_pore^2)*($A82/100))*($A82/100))</f>
        <v>1.32144927476185</v>
      </c>
      <c r="AG82" s="9" t="n">
        <f aca="false">AG$5*(1+A_pore*AG$6*($A82/100))/(1-AG$6*(1+((1-phimax_pore)/phimax_pore^2)*($A82/100))*($A82/100))</f>
        <v>1.32371302606713</v>
      </c>
      <c r="AH82" s="9" t="n">
        <f aca="false">AH$5*(1+A_pore*AH$6*($A82/100))/(1-AH$6*(1+((1-phimax_pore)/phimax_pore^2)*($A82/100))*($A82/100))</f>
        <v>1.32603800076677</v>
      </c>
      <c r="AI82" s="9" t="n">
        <f aca="false">AI$5*(1+A_pore*AI$6*($A82/100))/(1-AI$6*(1+((1-phimax_pore)/phimax_pore^2)*($A82/100))*($A82/100))</f>
        <v>1.32842713111965</v>
      </c>
      <c r="AJ82" s="9" t="n">
        <f aca="false">AJ$5*(1+A_pore*AJ$6*($A82/100))/(1-AJ$6*(1+((1-phimax_pore)/phimax_pore^2)*($A82/100))*($A82/100))</f>
        <v>1.33088355575242</v>
      </c>
      <c r="AK82" s="9" t="n">
        <f aca="false">AK$5*(1+A_pore*AK$6*($A82/100))/(1-AK$6*(1+((1-phimax_pore)/phimax_pore^2)*($A82/100))*($A82/100))</f>
        <v>1.33341063882227</v>
      </c>
    </row>
    <row r="83" customFormat="false" ht="15" hidden="false" customHeight="false" outlineLevel="0" collapsed="false">
      <c r="A83" s="4" t="n">
        <v>74</v>
      </c>
      <c r="B83" s="9" t="n">
        <f aca="false">B$5*(1+A_pore*B$6*($A83/100))/(1-B$6*(1+((1-phimax_pore)/phimax_pore^2)*($A83/100))*($A83/100))</f>
        <v>1.26019095846924</v>
      </c>
      <c r="C83" s="9" t="n">
        <f aca="false">C$5*(1+A_pore*C$6*($A83/100))/(1-C$6*(1+((1-phimax_pore)/phimax_pore^2)*($A83/100))*($A83/100))</f>
        <v>1.26133821187331</v>
      </c>
      <c r="D83" s="9" t="n">
        <f aca="false">D$5*(1+A_pore*D$6*($A83/100))/(1-D$6*(1+((1-phimax_pore)/phimax_pore^2)*($A83/100))*($A83/100))</f>
        <v>1.26250515971958</v>
      </c>
      <c r="E83" s="9" t="n">
        <f aca="false">E$5*(1+A_pore*E$6*($A83/100))/(1-E$6*(1+((1-phimax_pore)/phimax_pore^2)*($A83/100))*($A83/100))</f>
        <v>1.26369237659079</v>
      </c>
      <c r="F83" s="9" t="n">
        <f aca="false">F$5*(1+A_pore*F$6*($A83/100))/(1-F$6*(1+((1-phimax_pore)/phimax_pore^2)*($A83/100))*($A83/100))</f>
        <v>1.26490046165895</v>
      </c>
      <c r="G83" s="9" t="n">
        <f aca="false">G$5*(1+A_pore*G$6*($A83/100))/(1-G$6*(1+((1-phimax_pore)/phimax_pore^2)*($A83/100))*($A83/100))</f>
        <v>1.2661300400879</v>
      </c>
      <c r="H83" s="9" t="n">
        <f aca="false">H$5*(1+A_pore*H$6*($A83/100))/(1-H$6*(1+((1-phimax_pore)/phimax_pore^2)*($A83/100))*($A83/100))</f>
        <v>1.26738176453573</v>
      </c>
      <c r="I83" s="9" t="n">
        <f aca="false">I$5*(1+A_pore*I$6*($A83/100))/(1-I$6*(1+((1-phimax_pore)/phimax_pore^2)*($A83/100))*($A83/100))</f>
        <v>1.26865631676592</v>
      </c>
      <c r="J83" s="9" t="n">
        <f aca="false">J$5*(1+A_pore*J$6*($A83/100))/(1-J$6*(1+((1-phimax_pore)/phimax_pore^2)*($A83/100))*($A83/100))</f>
        <v>1.26995440937642</v>
      </c>
      <c r="K83" s="9" t="n">
        <f aca="false">K$5*(1+A_pore*K$6*($A83/100))/(1-K$6*(1+((1-phimax_pore)/phimax_pore^2)*($A83/100))*($A83/100))</f>
        <v>1.2712767876571</v>
      </c>
      <c r="L83" s="9" t="n">
        <f aca="false">L$5*(1+A_pore*L$6*($A83/100))/(1-L$6*(1+((1-phimax_pore)/phimax_pore^2)*($A83/100))*($A83/100))</f>
        <v>1.27262423158701</v>
      </c>
      <c r="M83" s="9" t="n">
        <f aca="false">M$5*(1+A_pore*M$6*($A83/100))/(1-M$6*(1+((1-phimax_pore)/phimax_pore^2)*($A83/100))*($A83/100))</f>
        <v>1.27399755798396</v>
      </c>
      <c r="N83" s="9" t="n">
        <f aca="false">N$5*(1+A_pore*N$6*($A83/100))/(1-N$6*(1+((1-phimax_pore)/phimax_pore^2)*($A83/100))*($A83/100))</f>
        <v>1.27539762282055</v>
      </c>
      <c r="O83" s="9" t="n">
        <f aca="false">O$5*(1+A_pore*O$6*($A83/100))/(1-O$6*(1+((1-phimax_pore)/phimax_pore^2)*($A83/100))*($A83/100))</f>
        <v>1.27682532372179</v>
      </c>
      <c r="P83" s="9" t="n">
        <f aca="false">P$5*(1+A_pore*P$6*($A83/100))/(1-P$6*(1+((1-phimax_pore)/phimax_pore^2)*($A83/100))*($A83/100))</f>
        <v>1.2782816026617</v>
      </c>
      <c r="Q83" s="9" t="n">
        <f aca="false">Q$5*(1+A_pore*Q$6*($A83/100))/(1-Q$6*(1+((1-phimax_pore)/phimax_pore^2)*($A83/100))*($A83/100))</f>
        <v>1.27976744887759</v>
      </c>
      <c r="R83" s="9" t="n">
        <f aca="false">R$5*(1+A_pore*R$6*($A83/100))/(1-R$6*(1+((1-phimax_pore)/phimax_pore^2)*($A83/100))*($A83/100))</f>
        <v>1.28128390202323</v>
      </c>
      <c r="S83" s="9" t="n">
        <f aca="false">S$5*(1+A_pore*S$6*($A83/100))/(1-S$6*(1+((1-phimax_pore)/phimax_pore^2)*($A83/100))*($A83/100))</f>
        <v>1.28283205558434</v>
      </c>
      <c r="T83" s="9" t="n">
        <f aca="false">T$5*(1+A_pore*T$6*($A83/100))/(1-T$6*(1+((1-phimax_pore)/phimax_pore^2)*($A83/100))*($A83/100))</f>
        <v>1.28441306058247</v>
      </c>
      <c r="U83" s="9" t="n">
        <f aca="false">U$5*(1+A_pore*U$6*($A83/100))/(1-U$6*(1+((1-phimax_pore)/phimax_pore^2)*($A83/100))*($A83/100))</f>
        <v>1.28602812959644</v>
      </c>
      <c r="V83" s="9" t="n">
        <f aca="false">V$5*(1+A_pore*V$6*($A83/100))/(1-V$6*(1+((1-phimax_pore)/phimax_pore^2)*($A83/100))*($A83/100))</f>
        <v>1.28767854113401</v>
      </c>
      <c r="W83" s="9" t="n">
        <f aca="false">W$5*(1+A_pore*W$6*($A83/100))/(1-W$6*(1+((1-phimax_pore)/phimax_pore^2)*($A83/100))*($A83/100))</f>
        <v>1.28936564439017</v>
      </c>
      <c r="X83" s="9" t="n">
        <f aca="false">X$5*(1+A_pore*X$6*($A83/100))/(1-X$6*(1+((1-phimax_pore)/phimax_pore^2)*($A83/100))*($A83/100))</f>
        <v>1.29109086443298</v>
      </c>
      <c r="Y83" s="9" t="n">
        <f aca="false">Y$5*(1+A_pore*Y$6*($A83/100))/(1-Y$6*(1+((1-phimax_pore)/phimax_pore^2)*($A83/100))*($A83/100))</f>
        <v>1.29285570786307</v>
      </c>
      <c r="Z83" s="9" t="n">
        <f aca="false">Z$5*(1+A_pore*Z$6*($A83/100))/(1-Z$6*(1+((1-phimax_pore)/phimax_pore^2)*($A83/100))*($A83/100))</f>
        <v>1.29466176899842</v>
      </c>
      <c r="AA83" s="9" t="n">
        <f aca="false">AA$5*(1+A_pore*AA$6*($A83/100))/(1-AA$6*(1+((1-phimax_pore)/phimax_pore^2)*($A83/100))*($A83/100))</f>
        <v>1.29651073664271</v>
      </c>
      <c r="AB83" s="9" t="n">
        <f aca="false">AB$5*(1+A_pore*AB$6*($A83/100))/(1-AB$6*(1+((1-phimax_pore)/phimax_pore^2)*($A83/100))*($A83/100))</f>
        <v>1.29840440150338</v>
      </c>
      <c r="AC83" s="9" t="n">
        <f aca="false">AC$5*(1+A_pore*AC$6*($A83/100))/(1-AC$6*(1+((1-phimax_pore)/phimax_pore^2)*($A83/100))*($A83/100))</f>
        <v>1.30034466433361</v>
      </c>
      <c r="AD83" s="9" t="n">
        <f aca="false">AD$5*(1+A_pore*AD$6*($A83/100))/(1-AD$6*(1+((1-phimax_pore)/phimax_pore^2)*($A83/100))*($A83/100))</f>
        <v>1.30233354488315</v>
      </c>
      <c r="AE83" s="9" t="n">
        <f aca="false">AE$5*(1+A_pore*AE$6*($A83/100))/(1-AE$6*(1+((1-phimax_pore)/phimax_pore^2)*($A83/100))*($A83/100))</f>
        <v>1.30437319175377</v>
      </c>
      <c r="AF83" s="9" t="n">
        <f aca="false">AF$5*(1+A_pore*AF$6*($A83/100))/(1-AF$6*(1+((1-phimax_pore)/phimax_pore^2)*($A83/100))*($A83/100))</f>
        <v>1.30646589326888</v>
      </c>
      <c r="AG83" s="9" t="n">
        <f aca="false">AG$5*(1+A_pore*AG$6*($A83/100))/(1-AG$6*(1+((1-phimax_pore)/phimax_pore^2)*($A83/100))*($A83/100))</f>
        <v>1.30861408948212</v>
      </c>
      <c r="AH83" s="9" t="n">
        <f aca="false">AH$5*(1+A_pore*AH$6*($A83/100))/(1-AH$6*(1+((1-phimax_pore)/phimax_pore^2)*($A83/100))*($A83/100))</f>
        <v>1.31082038546768</v>
      </c>
      <c r="AI83" s="9" t="n">
        <f aca="false">AI$5*(1+A_pore*AI$6*($A83/100))/(1-AI$6*(1+((1-phimax_pore)/phimax_pore^2)*($A83/100))*($A83/100))</f>
        <v>1.31308756605591</v>
      </c>
      <c r="AJ83" s="9" t="n">
        <f aca="false">AJ$5*(1+A_pore*AJ$6*($A83/100))/(1-AJ$6*(1+((1-phimax_pore)/phimax_pore^2)*($A83/100))*($A83/100))</f>
        <v>1.31541861220237</v>
      </c>
      <c r="AK83" s="9" t="n">
        <f aca="false">AK$5*(1+A_pore*AK$6*($A83/100))/(1-AK$6*(1+((1-phimax_pore)/phimax_pore^2)*($A83/100))*($A83/100))</f>
        <v>1.31781671920681</v>
      </c>
    </row>
    <row r="84" customFormat="false" ht="15" hidden="false" customHeight="false" outlineLevel="0" collapsed="false">
      <c r="A84" s="4" t="n">
        <v>75</v>
      </c>
      <c r="B84" s="9" t="n">
        <f aca="false">B$5*(1+A_pore*B$6*($A84/100))/(1-B$6*(1+((1-phimax_pore)/phimax_pore^2)*($A84/100))*($A84/100))</f>
        <v>1.24789072323855</v>
      </c>
      <c r="C84" s="9" t="n">
        <f aca="false">C$5*(1+A_pore*C$6*($A84/100))/(1-C$6*(1+((1-phimax_pore)/phimax_pore^2)*($A84/100))*($A84/100))</f>
        <v>1.24897815366996</v>
      </c>
      <c r="D84" s="9" t="n">
        <f aca="false">D$5*(1+A_pore*D$6*($A84/100))/(1-D$6*(1+((1-phimax_pore)/phimax_pore^2)*($A84/100))*($A84/100))</f>
        <v>1.25008423724965</v>
      </c>
      <c r="E84" s="9" t="n">
        <f aca="false">E$5*(1+A_pore*E$6*($A84/100))/(1-E$6*(1+((1-phimax_pore)/phimax_pore^2)*($A84/100))*($A84/100))</f>
        <v>1.25120951834255</v>
      </c>
      <c r="F84" s="9" t="n">
        <f aca="false">F$5*(1+A_pore*F$6*($A84/100))/(1-F$6*(1+((1-phimax_pore)/phimax_pore^2)*($A84/100))*($A84/100))</f>
        <v>1.25235456462605</v>
      </c>
      <c r="G84" s="9" t="n">
        <f aca="false">G$5*(1+A_pore*G$6*($A84/100))/(1-G$6*(1+((1-phimax_pore)/phimax_pore^2)*($A84/100))*($A84/100))</f>
        <v>1.2535199684205</v>
      </c>
      <c r="H84" s="9" t="n">
        <f aca="false">H$5*(1+A_pore*H$6*($A84/100))/(1-H$6*(1+((1-phimax_pore)/phimax_pore^2)*($A84/100))*($A84/100))</f>
        <v>1.25470634811468</v>
      </c>
      <c r="I84" s="9" t="n">
        <f aca="false">I$5*(1+A_pore*I$6*($A84/100))/(1-I$6*(1+((1-phimax_pore)/phimax_pore^2)*($A84/100))*($A84/100))</f>
        <v>1.25591434969437</v>
      </c>
      <c r="J84" s="9" t="n">
        <f aca="false">J$5*(1+A_pore*J$6*($A84/100))/(1-J$6*(1+((1-phimax_pore)/phimax_pore^2)*($A84/100))*($A84/100))</f>
        <v>1.25714464838286</v>
      </c>
      <c r="K84" s="9" t="n">
        <f aca="false">K$5*(1+A_pore*K$6*($A84/100))/(1-K$6*(1+((1-phimax_pore)/phimax_pore^2)*($A84/100))*($A84/100))</f>
        <v>1.25839795040339</v>
      </c>
      <c r="L84" s="9" t="n">
        <f aca="false">L$5*(1+A_pore*L$6*($A84/100))/(1-L$6*(1+((1-phimax_pore)/phimax_pore^2)*($A84/100))*($A84/100))</f>
        <v>1.25967499487421</v>
      </c>
      <c r="M84" s="9" t="n">
        <f aca="false">M$5*(1+A_pore*M$6*($A84/100))/(1-M$6*(1+((1-phimax_pore)/phimax_pore^2)*($A84/100))*($A84/100))</f>
        <v>1.26097655584832</v>
      </c>
      <c r="N84" s="9" t="n">
        <f aca="false">N$5*(1+A_pore*N$6*($A84/100))/(1-N$6*(1+((1-phimax_pore)/phimax_pore^2)*($A84/100))*($A84/100))</f>
        <v>1.26230344451113</v>
      </c>
      <c r="O84" s="9" t="n">
        <f aca="false">O$5*(1+A_pore*O$6*($A84/100))/(1-O$6*(1+((1-phimax_pore)/phimax_pore^2)*($A84/100))*($A84/100))</f>
        <v>1.26365651155061</v>
      </c>
      <c r="P84" s="9" t="n">
        <f aca="false">P$5*(1+A_pore*P$6*($A84/100))/(1-P$6*(1+((1-phimax_pore)/phimax_pore^2)*($A84/100))*($A84/100))</f>
        <v>1.26503664971622</v>
      </c>
      <c r="Q84" s="9" t="n">
        <f aca="false">Q$5*(1+A_pore*Q$6*($A84/100))/(1-Q$6*(1+((1-phimax_pore)/phimax_pore^2)*($A84/100))*($A84/100))</f>
        <v>1.26644479658462</v>
      </c>
      <c r="R84" s="9" t="n">
        <f aca="false">R$5*(1+A_pore*R$6*($A84/100))/(1-R$6*(1+((1-phimax_pore)/phimax_pore^2)*($A84/100))*($A84/100))</f>
        <v>1.26788193755209</v>
      </c>
      <c r="S84" s="9" t="n">
        <f aca="false">S$5*(1+A_pore*S$6*($A84/100))/(1-S$6*(1+((1-phimax_pore)/phimax_pore^2)*($A84/100))*($A84/100))</f>
        <v>1.26934910907602</v>
      </c>
      <c r="T84" s="9" t="n">
        <f aca="false">T$5*(1+A_pore*T$6*($A84/100))/(1-T$6*(1+((1-phimax_pore)/phimax_pore^2)*($A84/100))*($A84/100))</f>
        <v>1.27084740219018</v>
      </c>
      <c r="U84" s="9" t="n">
        <f aca="false">U$5*(1+A_pore*U$6*($A84/100))/(1-U$6*(1+((1-phimax_pore)/phimax_pore^2)*($A84/100))*($A84/100))</f>
        <v>1.2723779663216</v>
      </c>
      <c r="V84" s="9" t="n">
        <f aca="false">V$5*(1+A_pore*V$6*($A84/100))/(1-V$6*(1+((1-phimax_pore)/phimax_pore^2)*($A84/100))*($A84/100))</f>
        <v>1.2739420134398</v>
      </c>
      <c r="W84" s="9" t="n">
        <f aca="false">W$5*(1+A_pore*W$6*($A84/100))/(1-W$6*(1+((1-phimax_pore)/phimax_pore^2)*($A84/100))*($A84/100))</f>
        <v>1.27554082257321</v>
      </c>
      <c r="X84" s="9" t="n">
        <f aca="false">X$5*(1+A_pore*X$6*($A84/100))/(1-X$6*(1+((1-phimax_pore)/phimax_pore^2)*($A84/100))*($A84/100))</f>
        <v>1.27717574473161</v>
      </c>
      <c r="Y84" s="9" t="n">
        <f aca="false">Y$5*(1+A_pore*Y$6*($A84/100))/(1-Y$6*(1+((1-phimax_pore)/phimax_pore^2)*($A84/100))*($A84/100))</f>
        <v>1.27884820827817</v>
      </c>
      <c r="Z84" s="9" t="n">
        <f aca="false">Z$5*(1+A_pore*Z$6*($A84/100))/(1-Z$6*(1+((1-phimax_pore)/phimax_pore^2)*($A84/100))*($A84/100))</f>
        <v>1.28055972480029</v>
      </c>
      <c r="AA84" s="9" t="n">
        <f aca="false">AA$5*(1+A_pore*AA$6*($A84/100))/(1-AA$6*(1+((1-phimax_pore)/phimax_pore^2)*($A84/100))*($A84/100))</f>
        <v>1.28231189553472</v>
      </c>
      <c r="AB84" s="9" t="n">
        <f aca="false">AB$5*(1+A_pore*AB$6*($A84/100))/(1-AB$6*(1+((1-phimax_pore)/phimax_pore^2)*($A84/100))*($A84/100))</f>
        <v>1.28410641840934</v>
      </c>
      <c r="AC84" s="9" t="n">
        <f aca="false">AC$5*(1+A_pore*AC$6*($A84/100))/(1-AC$6*(1+((1-phimax_pore)/phimax_pore^2)*($A84/100))*($A84/100))</f>
        <v>1.28594509577263</v>
      </c>
      <c r="AD84" s="9" t="n">
        <f aca="false">AD$5*(1+A_pore*AD$6*($A84/100))/(1-AD$6*(1+((1-phimax_pore)/phimax_pore^2)*($A84/100))*($A84/100))</f>
        <v>1.28782984289099</v>
      </c>
      <c r="AE84" s="9" t="n">
        <f aca="false">AE$5*(1+A_pore*AE$6*($A84/100))/(1-AE$6*(1+((1-phimax_pore)/phimax_pore^2)*($A84/100))*($A84/100))</f>
        <v>1.28976269730528</v>
      </c>
      <c r="AF84" s="9" t="n">
        <f aca="false">AF$5*(1+A_pore*AF$6*($A84/100))/(1-AF$6*(1+((1-phimax_pore)/phimax_pore^2)*($A84/100))*($A84/100))</f>
        <v>1.29174582915026</v>
      </c>
      <c r="AG84" s="9" t="n">
        <f aca="false">AG$5*(1+A_pore*AG$6*($A84/100))/(1-AG$6*(1+((1-phimax_pore)/phimax_pore^2)*($A84/100))*($A84/100))</f>
        <v>1.29378155255577</v>
      </c>
      <c r="AH84" s="9" t="n">
        <f aca="false">AH$5*(1+A_pore*AH$6*($A84/100))/(1-AH$6*(1+((1-phimax_pore)/phimax_pore^2)*($A84/100))*($A84/100))</f>
        <v>1.29587233826498</v>
      </c>
      <c r="AI84" s="9" t="n">
        <f aca="false">AI$5*(1+A_pore*AI$6*($A84/100))/(1-AI$6*(1+((1-phimax_pore)/phimax_pore^2)*($A84/100))*($A84/100))</f>
        <v>1.29802082762529</v>
      </c>
      <c r="AJ84" s="9" t="n">
        <f aca="false">AJ$5*(1+A_pore*AJ$6*($A84/100))/(1-AJ$6*(1+((1-phimax_pore)/phimax_pore^2)*($A84/100))*($A84/100))</f>
        <v>1.30022984813033</v>
      </c>
      <c r="AK84" s="9" t="n">
        <f aca="false">AK$5*(1+A_pore*AK$6*($A84/100))/(1-AK$6*(1+((1-phimax_pore)/phimax_pore^2)*($A84/100))*($A84/100))</f>
        <v>1.30250243071892</v>
      </c>
    </row>
    <row r="85" customFormat="false" ht="15" hidden="false" customHeight="false" outlineLevel="0" collapsed="false">
      <c r="A85" s="4" t="n">
        <v>76</v>
      </c>
      <c r="B85" s="9" t="n">
        <f aca="false">B$5*(1+A_pore*B$6*($A85/100))/(1-B$6*(1+((1-phimax_pore)/phimax_pore^2)*($A85/100))*($A85/100))</f>
        <v>1.23578394958032</v>
      </c>
      <c r="C85" s="9" t="n">
        <f aca="false">C$5*(1+A_pore*C$6*($A85/100))/(1-C$6*(1+((1-phimax_pore)/phimax_pore^2)*($A85/100))*($A85/100))</f>
        <v>1.2368130810416</v>
      </c>
      <c r="D85" s="9" t="n">
        <f aca="false">D$5*(1+A_pore*D$6*($A85/100))/(1-D$6*(1+((1-phimax_pore)/phimax_pore^2)*($A85/100))*($A85/100))</f>
        <v>1.23785985314888</v>
      </c>
      <c r="E85" s="9" t="n">
        <f aca="false">E$5*(1+A_pore*E$6*($A85/100))/(1-E$6*(1+((1-phimax_pore)/phimax_pore^2)*($A85/100))*($A85/100))</f>
        <v>1.23892478089211</v>
      </c>
      <c r="F85" s="9" t="n">
        <f aca="false">F$5*(1+A_pore*F$6*($A85/100))/(1-F$6*(1+((1-phimax_pore)/phimax_pore^2)*($A85/100))*($A85/100))</f>
        <v>1.24000840133152</v>
      </c>
      <c r="G85" s="9" t="n">
        <f aca="false">G$5*(1+A_pore*G$6*($A85/100))/(1-G$6*(1+((1-phimax_pore)/phimax_pore^2)*($A85/100))*($A85/100))</f>
        <v>1.24111127485803</v>
      </c>
      <c r="H85" s="9" t="n">
        <f aca="false">H$5*(1+A_pore*H$6*($A85/100))/(1-H$6*(1+((1-phimax_pore)/phimax_pore^2)*($A85/100))*($A85/100))</f>
        <v>1.24223398654371</v>
      </c>
      <c r="I85" s="9" t="n">
        <f aca="false">I$5*(1+A_pore*I$6*($A85/100))/(1-I$6*(1+((1-phimax_pore)/phimax_pore^2)*($A85/100))*($A85/100))</f>
        <v>1.24337714758996</v>
      </c>
      <c r="J85" s="9" t="n">
        <f aca="false">J$5*(1+A_pore*J$6*($A85/100))/(1-J$6*(1+((1-phimax_pore)/phimax_pore^2)*($A85/100))*($A85/100))</f>
        <v>1.24454139688179</v>
      </c>
      <c r="K85" s="9" t="n">
        <f aca="false">K$5*(1+A_pore*K$6*($A85/100))/(1-K$6*(1+((1-phimax_pore)/phimax_pore^2)*($A85/100))*($A85/100))</f>
        <v>1.24572740265764</v>
      </c>
      <c r="L85" s="9" t="n">
        <f aca="false">L$5*(1+A_pore*L$6*($A85/100))/(1-L$6*(1+((1-phimax_pore)/phimax_pore^2)*($A85/100))*($A85/100))</f>
        <v>1.24693586430496</v>
      </c>
      <c r="M85" s="9" t="n">
        <f aca="false">M$5*(1+A_pore*M$6*($A85/100))/(1-M$6*(1+((1-phimax_pore)/phimax_pore^2)*($A85/100))*($A85/100))</f>
        <v>1.24816751429292</v>
      </c>
      <c r="N85" s="9" t="n">
        <f aca="false">N$5*(1+A_pore*N$6*($A85/100))/(1-N$6*(1+((1-phimax_pore)/phimax_pore^2)*($A85/100))*($A85/100))</f>
        <v>1.24942312025477</v>
      </c>
      <c r="O85" s="9" t="n">
        <f aca="false">O$5*(1+A_pore*O$6*($A85/100))/(1-O$6*(1+((1-phimax_pore)/phimax_pore^2)*($A85/100))*($A85/100))</f>
        <v>1.25070348723379</v>
      </c>
      <c r="P85" s="9" t="n">
        <f aca="false">P$5*(1+A_pore*P$6*($A85/100))/(1-P$6*(1+((1-phimax_pore)/phimax_pore^2)*($A85/100))*($A85/100))</f>
        <v>1.25200946010815</v>
      </c>
      <c r="Q85" s="9" t="n">
        <f aca="false">Q$5*(1+A_pore*Q$6*($A85/100))/(1-Q$6*(1+((1-phimax_pore)/phimax_pore^2)*($A85/100))*($A85/100))</f>
        <v>1.25334192621176</v>
      </c>
      <c r="R85" s="9" t="n">
        <f aca="false">R$5*(1+A_pore*R$6*($A85/100))/(1-R$6*(1+((1-phimax_pore)/phimax_pore^2)*($A85/100))*($A85/100))</f>
        <v>1.25470181817013</v>
      </c>
      <c r="S85" s="9" t="n">
        <f aca="false">S$5*(1+A_pore*S$6*($A85/100))/(1-S$6*(1+((1-phimax_pore)/phimax_pore^2)*($A85/100))*($A85/100))</f>
        <v>1.25609011697229</v>
      </c>
      <c r="T85" s="9" t="n">
        <f aca="false">T$5*(1+A_pore*T$6*($A85/100))/(1-T$6*(1+((1-phimax_pore)/phimax_pore^2)*($A85/100))*($A85/100))</f>
        <v>1.25750785530232</v>
      </c>
      <c r="U85" s="9" t="n">
        <f aca="false">U$5*(1+A_pore*U$6*($A85/100))/(1-U$6*(1+((1-phimax_pore)/phimax_pore^2)*($A85/100))*($A85/100))</f>
        <v>1.25895612115672</v>
      </c>
      <c r="V85" s="9" t="n">
        <f aca="false">V$5*(1+A_pore*V$6*($A85/100))/(1-V$6*(1+((1-phimax_pore)/phimax_pore^2)*($A85/100))*($A85/100))</f>
        <v>1.26043606177701</v>
      </c>
      <c r="W85" s="9" t="n">
        <f aca="false">W$5*(1+A_pore*W$6*($A85/100))/(1-W$6*(1+((1-phimax_pore)/phimax_pore^2)*($A85/100))*($A85/100))</f>
        <v>1.26194888793042</v>
      </c>
      <c r="X85" s="9" t="n">
        <f aca="false">X$5*(1+A_pore*X$6*($A85/100))/(1-X$6*(1+((1-phimax_pore)/phimax_pore^2)*($A85/100))*($A85/100))</f>
        <v>1.26349587857544</v>
      </c>
      <c r="Y85" s="9" t="n">
        <f aca="false">Y$5*(1+A_pore*Y$6*($A85/100))/(1-Y$6*(1+((1-phimax_pore)/phimax_pore^2)*($A85/100))*($A85/100))</f>
        <v>1.26507838595379</v>
      </c>
      <c r="Z85" s="9" t="n">
        <f aca="false">Z$5*(1+A_pore*Z$6*($A85/100))/(1-Z$6*(1+((1-phimax_pore)/phimax_pore^2)*($A85/100))*($A85/100))</f>
        <v>1.26669784115527</v>
      </c>
      <c r="AA85" s="9" t="n">
        <f aca="false">AA$5*(1+A_pore*AA$6*($A85/100))/(1-AA$6*(1+((1-phimax_pore)/phimax_pore^2)*($A85/100))*($A85/100))</f>
        <v>1.2683557602081</v>
      </c>
      <c r="AB85" s="9" t="n">
        <f aca="false">AB$5*(1+A_pore*AB$6*($A85/100))/(1-AB$6*(1+((1-phimax_pore)/phimax_pore^2)*($A85/100))*($A85/100))</f>
        <v>1.2700537507541</v>
      </c>
      <c r="AC85" s="9" t="n">
        <f aca="false">AC$5*(1+A_pore*AC$6*($A85/100))/(1-AC$6*(1+((1-phimax_pore)/phimax_pore^2)*($A85/100))*($A85/100))</f>
        <v>1.27179351937582</v>
      </c>
      <c r="AD85" s="9" t="n">
        <f aca="false">AD$5*(1+A_pore*AD$6*($A85/100))/(1-AD$6*(1+((1-phimax_pore)/phimax_pore^2)*($A85/100))*($A85/100))</f>
        <v>1.27357687965182</v>
      </c>
      <c r="AE85" s="9" t="n">
        <f aca="false">AE$5*(1+A_pore*AE$6*($A85/100))/(1-AE$6*(1+((1-phimax_pore)/phimax_pore^2)*($A85/100))*($A85/100))</f>
        <v>1.27540576102664</v>
      </c>
      <c r="AF85" s="9" t="n">
        <f aca="false">AF$5*(1+A_pore*AF$6*($A85/100))/(1-AF$6*(1+((1-phimax_pore)/phimax_pore^2)*($A85/100))*($A85/100))</f>
        <v>1.27728221859388</v>
      </c>
      <c r="AG85" s="9" t="n">
        <f aca="false">AG$5*(1+A_pore*AG$6*($A85/100))/(1-AG$6*(1+((1-phimax_pore)/phimax_pore^2)*($A85/100))*($A85/100))</f>
        <v>1.27920844390504</v>
      </c>
      <c r="AH85" s="9" t="n">
        <f aca="false">AH$5*(1+A_pore*AH$6*($A85/100))/(1-AH$6*(1+((1-phimax_pore)/phimax_pore^2)*($A85/100))*($A85/100))</f>
        <v>1.28118677693241</v>
      </c>
      <c r="AI85" s="9" t="n">
        <f aca="false">AI$5*(1+A_pore*AI$6*($A85/100))/(1-AI$6*(1+((1-phimax_pore)/phimax_pore^2)*($A85/100))*($A85/100))</f>
        <v>1.28321971933369</v>
      </c>
      <c r="AJ85" s="9" t="n">
        <f aca="false">AJ$5*(1+A_pore*AJ$6*($A85/100))/(1-AJ$6*(1+((1-phimax_pore)/phimax_pore^2)*($A85/100))*($A85/100))</f>
        <v>1.28530994918749</v>
      </c>
      <c r="AK85" s="9" t="n">
        <f aca="false">AK$5*(1+A_pore*AK$6*($A85/100))/(1-AK$6*(1+((1-phimax_pore)/phimax_pore^2)*($A85/100))*($A85/100))</f>
        <v>1.28746033739494</v>
      </c>
    </row>
    <row r="86" customFormat="false" ht="15" hidden="false" customHeight="false" outlineLevel="0" collapsed="false">
      <c r="A86" s="4" t="n">
        <v>77</v>
      </c>
      <c r="B86" s="9" t="n">
        <f aca="false">B$5*(1+A_pore*B$6*($A86/100))/(1-B$6*(1+((1-phimax_pore)/phimax_pore^2)*($A86/100))*($A86/100))</f>
        <v>1.22386611969482</v>
      </c>
      <c r="C86" s="9" t="n">
        <f aca="false">C$5*(1+A_pore*C$6*($A86/100))/(1-C$6*(1+((1-phimax_pore)/phimax_pore^2)*($A86/100))*($A86/100))</f>
        <v>1.22483842705862</v>
      </c>
      <c r="D86" s="9" t="n">
        <f aca="false">D$5*(1+A_pore*D$6*($A86/100))/(1-D$6*(1+((1-phimax_pore)/phimax_pore^2)*($A86/100))*($A86/100))</f>
        <v>1.2258273903154</v>
      </c>
      <c r="E86" s="9" t="n">
        <f aca="false">E$5*(1+A_pore*E$6*($A86/100))/(1-E$6*(1+((1-phimax_pore)/phimax_pore^2)*($A86/100))*($A86/100))</f>
        <v>1.22683349589076</v>
      </c>
      <c r="F86" s="9" t="n">
        <f aca="false">F$5*(1+A_pore*F$6*($A86/100))/(1-F$6*(1+((1-phimax_pore)/phimax_pore^2)*($A86/100))*($A86/100))</f>
        <v>1.22785725107161</v>
      </c>
      <c r="G86" s="9" t="n">
        <f aca="false">G$5*(1+A_pore*G$6*($A86/100))/(1-G$6*(1+((1-phimax_pore)/phimax_pore^2)*($A86/100))*($A86/100))</f>
        <v>1.22889918519848</v>
      </c>
      <c r="H86" s="9" t="n">
        <f aca="false">H$5*(1+A_pore*H$6*($A86/100))/(1-H$6*(1+((1-phimax_pore)/phimax_pore^2)*($A86/100))*($A86/100))</f>
        <v>1.22995985094283</v>
      </c>
      <c r="I86" s="9" t="n">
        <f aca="false">I$5*(1+A_pore*I$6*($A86/100))/(1-I$6*(1+((1-phimax_pore)/phimax_pore^2)*($A86/100))*($A86/100))</f>
        <v>1.23103982567691</v>
      </c>
      <c r="J86" s="9" t="n">
        <f aca="false">J$5*(1+A_pore*J$6*($A86/100))/(1-J$6*(1+((1-phimax_pore)/phimax_pore^2)*($A86/100))*($A86/100))</f>
        <v>1.23213971294402</v>
      </c>
      <c r="K86" s="9" t="n">
        <f aca="false">K$5*(1+A_pore*K$6*($A86/100))/(1-K$6*(1+((1-phimax_pore)/phimax_pore^2)*($A86/100))*($A86/100))</f>
        <v>1.23326014403814</v>
      </c>
      <c r="L86" s="9" t="n">
        <f aca="false">L$5*(1+A_pore*L$6*($A86/100))/(1-L$6*(1+((1-phimax_pore)/phimax_pore^2)*($A86/100))*($A86/100))</f>
        <v>1.23440177970254</v>
      </c>
      <c r="M86" s="9" t="n">
        <f aca="false">M$5*(1+A_pore*M$6*($A86/100))/(1-M$6*(1+((1-phimax_pore)/phimax_pore^2)*($A86/100))*($A86/100))</f>
        <v>1.23556531195816</v>
      </c>
      <c r="N86" s="9" t="n">
        <f aca="false">N$5*(1+A_pore*N$6*($A86/100))/(1-N$6*(1+((1-phimax_pore)/phimax_pore^2)*($A86/100))*($A86/100))</f>
        <v>1.2367514660737</v>
      </c>
      <c r="O86" s="9" t="n">
        <f aca="false">O$5*(1+A_pore*O$6*($A86/100))/(1-O$6*(1+((1-phimax_pore)/phimax_pore^2)*($A86/100))*($A86/100))</f>
        <v>1.23796100269045</v>
      </c>
      <c r="P86" s="9" t="n">
        <f aca="false">P$5*(1+A_pore*P$6*($A86/100))/(1-P$6*(1+((1-phimax_pore)/phimax_pore^2)*($A86/100))*($A86/100))</f>
        <v>1.23919472011647</v>
      </c>
      <c r="Q86" s="9" t="n">
        <f aca="false">Q$5*(1+A_pore*Q$6*($A86/100))/(1-Q$6*(1+((1-phimax_pore)/phimax_pore^2)*($A86/100))*($A86/100))</f>
        <v>1.24045345680638</v>
      </c>
      <c r="R86" s="9" t="n">
        <f aca="false">R$5*(1+A_pore*R$6*($A86/100))/(1-R$6*(1+((1-phimax_pore)/phimax_pore^2)*($A86/100))*($A86/100))</f>
        <v>1.24173809404447</v>
      </c>
      <c r="S86" s="9" t="n">
        <f aca="false">S$5*(1+A_pore*S$6*($A86/100))/(1-S$6*(1+((1-phimax_pore)/phimax_pore^2)*($A86/100))*($A86/100))</f>
        <v>1.24304955885143</v>
      </c>
      <c r="T86" s="9" t="n">
        <f aca="false">T$5*(1+A_pore*T$6*($A86/100))/(1-T$6*(1+((1-phimax_pore)/phimax_pore^2)*($A86/100))*($A86/100))</f>
        <v>1.2443888271367</v>
      </c>
      <c r="U86" s="9" t="n">
        <f aca="false">U$5*(1+A_pore*U$6*($A86/100))/(1-U$6*(1+((1-phimax_pore)/phimax_pore^2)*($A86/100))*($A86/100))</f>
        <v>1.2457569271214</v>
      </c>
      <c r="V86" s="9" t="n">
        <f aca="false">V$5*(1+A_pore*V$6*($A86/100))/(1-V$6*(1+((1-phimax_pore)/phimax_pore^2)*($A86/100))*($A86/100))</f>
        <v>1.24715494305976</v>
      </c>
      <c r="W86" s="9" t="n">
        <f aca="false">W$5*(1+A_pore*W$6*($A86/100))/(1-W$6*(1+((1-phimax_pore)/phimax_pore^2)*($A86/100))*($A86/100))</f>
        <v>1.24858401928983</v>
      </c>
      <c r="X86" s="9" t="n">
        <f aca="false">X$5*(1+A_pore*X$6*($A86/100))/(1-X$6*(1+((1-phimax_pore)/phimax_pore^2)*($A86/100))*($A86/100))</f>
        <v>1.25004536464878</v>
      </c>
      <c r="Y86" s="9" t="n">
        <f aca="false">Y$5*(1+A_pore*Y$6*($A86/100))/(1-Y$6*(1+((1-phimax_pore)/phimax_pore^2)*($A86/100))*($A86/100))</f>
        <v>1.25154025729161</v>
      </c>
      <c r="Z86" s="9" t="n">
        <f aca="false">Z$5*(1+A_pore*Z$6*($A86/100))/(1-Z$6*(1+((1-phimax_pore)/phimax_pore^2)*($A86/100))*($A86/100))</f>
        <v>1.2530700499577</v>
      </c>
      <c r="AA86" s="9" t="n">
        <f aca="false">AA$5*(1+A_pore*AA$6*($A86/100))/(1-AA$6*(1+((1-phimax_pore)/phimax_pore^2)*($A86/100))*($A86/100))</f>
        <v>1.25463617573472</v>
      </c>
      <c r="AB86" s="9" t="n">
        <f aca="false">AB$5*(1+A_pore*AB$6*($A86/100))/(1-AB$6*(1+((1-phimax_pore)/phimax_pore^2)*($A86/100))*($A86/100))</f>
        <v>1.25624015437624</v>
      </c>
      <c r="AC86" s="9" t="n">
        <f aca="false">AC$5*(1+A_pore*AC$6*($A86/100))/(1-AC$6*(1+((1-phimax_pore)/phimax_pore^2)*($A86/100))*($A86/100))</f>
        <v>1.2578835992365</v>
      </c>
      <c r="AD86" s="9" t="n">
        <f aca="false">AD$5*(1+A_pore*AD$6*($A86/100))/(1-AD$6*(1+((1-phimax_pore)/phimax_pore^2)*($A86/100))*($A86/100))</f>
        <v>1.25956822489459</v>
      </c>
      <c r="AE86" s="9" t="n">
        <f aca="false">AE$5*(1+A_pore*AE$6*($A86/100))/(1-AE$6*(1+((1-phimax_pore)/phimax_pore^2)*($A86/100))*($A86/100))</f>
        <v>1.26129585554983</v>
      </c>
      <c r="AF86" s="9" t="n">
        <f aca="false">AF$5*(1+A_pore*AF$6*($A86/100))/(1-AF$6*(1+((1-phimax_pore)/phimax_pore^2)*($A86/100))*($A86/100))</f>
        <v>1.26306843428174</v>
      </c>
      <c r="AG86" s="9" t="n">
        <f aca="false">AG$5*(1+A_pore*AG$6*($A86/100))/(1-AG$6*(1+((1-phimax_pore)/phimax_pore^2)*($A86/100))*($A86/100))</f>
        <v>1.26488803328101</v>
      </c>
      <c r="AH86" s="9" t="n">
        <f aca="false">AH$5*(1+A_pore*AH$6*($A86/100))/(1-AH$6*(1+((1-phimax_pore)/phimax_pore^2)*($A86/100))*($A86/100))</f>
        <v>1.26675686517321</v>
      </c>
      <c r="AI86" s="9" t="n">
        <f aca="false">AI$5*(1+A_pore*AI$6*($A86/100))/(1-AI$6*(1+((1-phimax_pore)/phimax_pore^2)*($A86/100))*($A86/100))</f>
        <v>1.26867729557488</v>
      </c>
      <c r="AJ86" s="9" t="n">
        <f aca="false">AJ$5*(1+A_pore*AJ$6*($A86/100))/(1-AJ$6*(1+((1-phimax_pore)/phimax_pore^2)*($A86/100))*($A86/100))</f>
        <v>1.27065185704222</v>
      </c>
      <c r="AK86" s="9" t="n">
        <f aca="false">AK$5*(1+A_pore*AK$6*($A86/100))/(1-AK$6*(1+((1-phimax_pore)/phimax_pore^2)*($A86/100))*($A86/100))</f>
        <v>1.27268326459728</v>
      </c>
    </row>
    <row r="87" customFormat="false" ht="15" hidden="false" customHeight="false" outlineLevel="0" collapsed="false">
      <c r="A87" s="4" t="n">
        <v>78</v>
      </c>
      <c r="B87" s="9" t="n">
        <f aca="false">B$5*(1+A_pore*B$6*($A87/100))/(1-B$6*(1+((1-phimax_pore)/phimax_pore^2)*($A87/100))*($A87/100))</f>
        <v>1.21213285536036</v>
      </c>
      <c r="C87" s="9" t="n">
        <f aca="false">C$5*(1+A_pore*C$6*($A87/100))/(1-C$6*(1+((1-phimax_pore)/phimax_pore^2)*($A87/100))*($A87/100))</f>
        <v>1.21304976630362</v>
      </c>
      <c r="D87" s="9" t="n">
        <f aca="false">D$5*(1+A_pore*D$6*($A87/100))/(1-D$6*(1+((1-phimax_pore)/phimax_pore^2)*($A87/100))*($A87/100))</f>
        <v>1.21398237513991</v>
      </c>
      <c r="E87" s="9" t="n">
        <f aca="false">E$5*(1+A_pore*E$6*($A87/100))/(1-E$6*(1+((1-phimax_pore)/phimax_pore^2)*($A87/100))*($A87/100))</f>
        <v>1.21493114051026</v>
      </c>
      <c r="F87" s="9" t="n">
        <f aca="false">F$5*(1+A_pore*F$6*($A87/100))/(1-F$6*(1+((1-phimax_pore)/phimax_pore^2)*($A87/100))*($A87/100))</f>
        <v>1.2158965407402</v>
      </c>
      <c r="G87" s="9" t="n">
        <f aca="false">G$5*(1+A_pore*G$6*($A87/100))/(1-G$6*(1+((1-phimax_pore)/phimax_pore^2)*($A87/100))*($A87/100))</f>
        <v>1.21687907496552</v>
      </c>
      <c r="H87" s="9" t="n">
        <f aca="false">H$5*(1+A_pore*H$6*($A87/100))/(1-H$6*(1+((1-phimax_pore)/phimax_pore^2)*($A87/100))*($A87/100))</f>
        <v>1.21787926433837</v>
      </c>
      <c r="I87" s="9" t="n">
        <f aca="false">I$5*(1+A_pore*I$6*($A87/100))/(1-I$6*(1+((1-phimax_pore)/phimax_pore^2)*($A87/100))*($A87/100))</f>
        <v>1.21889765332082</v>
      </c>
      <c r="J87" s="9" t="n">
        <f aca="false">J$5*(1+A_pore*J$6*($A87/100))/(1-J$6*(1+((1-phimax_pore)/phimax_pore^2)*($A87/100))*($A87/100))</f>
        <v>1.21993481107319</v>
      </c>
      <c r="K87" s="9" t="n">
        <f aca="false">K$5*(1+A_pore*K$6*($A87/100))/(1-K$6*(1+((1-phimax_pore)/phimax_pore^2)*($A87/100))*($A87/100))</f>
        <v>1.2209913329458</v>
      </c>
      <c r="L87" s="9" t="n">
        <f aca="false">L$5*(1+A_pore*L$6*($A87/100))/(1-L$6*(1+((1-phimax_pore)/phimax_pore^2)*($A87/100))*($A87/100))</f>
        <v>1.22206784208302</v>
      </c>
      <c r="M87" s="9" t="n">
        <f aca="false">M$5*(1+A_pore*M$6*($A87/100))/(1-M$6*(1+((1-phimax_pore)/phimax_pore^2)*($A87/100))*($A87/100))</f>
        <v>1.22316499115002</v>
      </c>
      <c r="N87" s="9" t="n">
        <f aca="false">N$5*(1+A_pore*N$6*($A87/100))/(1-N$6*(1+((1-phimax_pore)/phimax_pore^2)*($A87/100))*($A87/100))</f>
        <v>1.22428346419335</v>
      </c>
      <c r="O87" s="9" t="n">
        <f aca="false">O$5*(1+A_pore*O$6*($A87/100))/(1-O$6*(1+((1-phimax_pore)/phimax_pore^2)*($A87/100))*($A87/100))</f>
        <v>1.22542397864772</v>
      </c>
      <c r="P87" s="9" t="n">
        <f aca="false">P$5*(1+A_pore*P$6*($A87/100))/(1-P$6*(1+((1-phimax_pore)/phimax_pore^2)*($A87/100))*($A87/100))</f>
        <v>1.22658728750284</v>
      </c>
      <c r="Q87" s="9" t="n">
        <f aca="false">Q$5*(1+A_pore*Q$6*($A87/100))/(1-Q$6*(1+((1-phimax_pore)/phimax_pore^2)*($A87/100))*($A87/100))</f>
        <v>1.22777418164553</v>
      </c>
      <c r="R87" s="9" t="n">
        <f aca="false">R$5*(1+A_pore*R$6*($A87/100))/(1-R$6*(1+((1-phimax_pore)/phimax_pore^2)*($A87/100))*($A87/100))</f>
        <v>1.22898549239408</v>
      </c>
      <c r="S87" s="9" t="n">
        <f aca="false">S$5*(1+A_pore*S$6*($A87/100))/(1-S$6*(1+((1-phimax_pore)/phimax_pore^2)*($A87/100))*($A87/100))</f>
        <v>1.23022209424375</v>
      </c>
      <c r="T87" s="9" t="n">
        <f aca="false">T$5*(1+A_pore*T$6*($A87/100))/(1-T$6*(1+((1-phimax_pore)/phimax_pore^2)*($A87/100))*($A87/100))</f>
        <v>1.23148490784448</v>
      </c>
      <c r="U87" s="9" t="n">
        <f aca="false">U$5*(1+A_pore*U$6*($A87/100))/(1-U$6*(1+((1-phimax_pore)/phimax_pore^2)*($A87/100))*($A87/100))</f>
        <v>1.23277490323423</v>
      </c>
      <c r="V87" s="9" t="n">
        <f aca="false">V$5*(1+A_pore*V$6*($A87/100))/(1-V$6*(1+((1-phimax_pore)/phimax_pore^2)*($A87/100))*($A87/100))</f>
        <v>1.23409310335435</v>
      </c>
      <c r="W87" s="9" t="n">
        <f aca="false">W$5*(1+A_pore*W$6*($A87/100))/(1-W$6*(1+((1-phimax_pore)/phimax_pore^2)*($A87/100))*($A87/100))</f>
        <v>1.23544058787618</v>
      </c>
      <c r="X87" s="9" t="n">
        <f aca="false">X$5*(1+A_pore*X$6*($A87/100))/(1-X$6*(1+((1-phimax_pore)/phimax_pore^2)*($A87/100))*($A87/100))</f>
        <v>1.23681849737209</v>
      </c>
      <c r="Y87" s="9" t="n">
        <f aca="false">Y$5*(1+A_pore*Y$6*($A87/100))/(1-Y$6*(1+((1-phimax_pore)/phimax_pore^2)*($A87/100))*($A87/100))</f>
        <v>1.23822803786781</v>
      </c>
      <c r="Z87" s="9" t="n">
        <f aca="false">Z$5*(1+A_pore*Z$6*($A87/100))/(1-Z$6*(1+((1-phimax_pore)/phimax_pore^2)*($A87/100))*($A87/100))</f>
        <v>1.23967048581794</v>
      </c>
      <c r="AA87" s="9" t="n">
        <f aca="false">AA$5*(1+A_pore*AA$6*($A87/100))/(1-AA$6*(1+((1-phimax_pore)/phimax_pore^2)*($A87/100))*($A87/100))</f>
        <v>1.24114719355145</v>
      </c>
      <c r="AB87" s="9" t="n">
        <f aca="false">AB$5*(1+A_pore*AB$6*($A87/100))/(1-AB$6*(1+((1-phimax_pore)/phimax_pore^2)*($A87/100))*($A87/100))</f>
        <v>1.24265959524047</v>
      </c>
      <c r="AC87" s="9" t="n">
        <f aca="false">AC$5*(1+A_pore*AC$6*($A87/100))/(1-AC$6*(1+((1-phimax_pore)/phimax_pore^2)*($A87/100))*($A87/100))</f>
        <v>1.24420921345234</v>
      </c>
      <c r="AD87" s="9" t="n">
        <f aca="false">AD$5*(1+A_pore*AD$6*($A87/100))/(1-AD$6*(1+((1-phimax_pore)/phimax_pore^2)*($A87/100))*($A87/100))</f>
        <v>1.24579766635316</v>
      </c>
      <c r="AE87" s="9" t="n">
        <f aca="false">AE$5*(1+A_pore*AE$6*($A87/100))/(1-AE$6*(1+((1-phimax_pore)/phimax_pore^2)*($A87/100))*($A87/100))</f>
        <v>1.24742667564018</v>
      </c>
      <c r="AF87" s="9" t="n">
        <f aca="false">AF$5*(1+A_pore*AF$6*($A87/100))/(1-AF$6*(1+((1-phimax_pore)/phimax_pore^2)*($A87/100))*($A87/100))</f>
        <v>1.24909807529134</v>
      </c>
      <c r="AG87" s="9" t="n">
        <f aca="false">AG$5*(1+A_pore*AG$6*($A87/100))/(1-AG$6*(1+((1-phimax_pore)/phimax_pore^2)*($A87/100))*($A87/100))</f>
        <v>1.25081382123244</v>
      </c>
      <c r="AH87" s="9" t="n">
        <f aca="false">AH$5*(1+A_pore*AH$6*($A87/100))/(1-AH$6*(1+((1-phimax_pore)/phimax_pore^2)*($A87/100))*($A87/100))</f>
        <v>1.25257600203717</v>
      </c>
      <c r="AI87" s="9" t="n">
        <f aca="false">AI$5*(1+A_pore*AI$6*($A87/100))/(1-AI$6*(1+((1-phimax_pore)/phimax_pore^2)*($A87/100))*($A87/100))</f>
        <v>1.25438685079173</v>
      </c>
      <c r="AJ87" s="9" t="n">
        <f aca="false">AJ$5*(1+A_pore*AJ$6*($A87/100))/(1-AJ$6*(1+((1-phimax_pore)/phimax_pore^2)*($A87/100))*($A87/100))</f>
        <v>1.25624875827582</v>
      </c>
      <c r="AK87" s="9" t="n">
        <f aca="false">AK$5*(1+A_pore*AK$6*($A87/100))/(1-AK$6*(1+((1-phimax_pore)/phimax_pore^2)*($A87/100))*($A87/100))</f>
        <v>1.25816428763449</v>
      </c>
    </row>
    <row r="88" customFormat="false" ht="15" hidden="false" customHeight="false" outlineLevel="0" collapsed="false">
      <c r="A88" s="4" t="n">
        <v>79</v>
      </c>
      <c r="B88" s="9" t="n">
        <f aca="false">B$5*(1+A_pore*B$6*($A88/100))/(1-B$6*(1+((1-phimax_pore)/phimax_pore^2)*($A88/100))*($A88/100))</f>
        <v>1.20057991258421</v>
      </c>
      <c r="C88" s="9" t="n">
        <f aca="false">C$5*(1+A_pore*C$6*($A88/100))/(1-C$6*(1+((1-phimax_pore)/phimax_pore^2)*($A88/100))*($A88/100))</f>
        <v>1.20144280943242</v>
      </c>
      <c r="D88" s="9" t="n">
        <f aca="false">D$5*(1+A_pore*D$6*($A88/100))/(1-D$6*(1+((1-phimax_pore)/phimax_pore^2)*($A88/100))*($A88/100))</f>
        <v>1.20232047197419</v>
      </c>
      <c r="E88" s="9" t="n">
        <f aca="false">E$5*(1+A_pore*E$6*($A88/100))/(1-E$6*(1+((1-phimax_pore)/phimax_pore^2)*($A88/100))*($A88/100))</f>
        <v>1.20321333181655</v>
      </c>
      <c r="F88" s="9" t="n">
        <f aca="false">F$5*(1+A_pore*F$6*($A88/100))/(1-F$6*(1+((1-phimax_pore)/phimax_pore^2)*($A88/100))*($A88/100))</f>
        <v>1.20412183910505</v>
      </c>
      <c r="G88" s="9" t="n">
        <f aca="false">G$5*(1+A_pore*G$6*($A88/100))/(1-G$6*(1+((1-phimax_pore)/phimax_pore^2)*($A88/100))*($A88/100))</f>
        <v>1.2050464635846</v>
      </c>
      <c r="H88" s="9" t="n">
        <f aca="false">H$5*(1+A_pore*H$6*($A88/100))/(1-H$6*(1+((1-phimax_pore)/phimax_pore^2)*($A88/100))*($A88/100))</f>
        <v>1.20598769573626</v>
      </c>
      <c r="I88" s="9" t="n">
        <f aca="false">I$5*(1+A_pore*I$6*($A88/100))/(1-I$6*(1+((1-phimax_pore)/phimax_pore^2)*($A88/100))*($A88/100))</f>
        <v>1.20694604799629</v>
      </c>
      <c r="J88" s="9" t="n">
        <f aca="false">J$5*(1+A_pore*J$6*($A88/100))/(1-J$6*(1+((1-phimax_pore)/phimax_pore^2)*($A88/100))*($A88/100))</f>
        <v>1.20792205606472</v>
      </c>
      <c r="K88" s="9" t="n">
        <f aca="false">K$5*(1+A_pore*K$6*($A88/100))/(1-K$6*(1+((1-phimax_pore)/phimax_pore^2)*($A88/100))*($A88/100))</f>
        <v>1.20891628031129</v>
      </c>
      <c r="L88" s="9" t="n">
        <f aca="false">L$5*(1+A_pore*L$6*($A88/100))/(1-L$6*(1+((1-phimax_pore)/phimax_pore^2)*($A88/100))*($A88/100))</f>
        <v>1.20992930728745</v>
      </c>
      <c r="M88" s="9" t="n">
        <f aca="false">M$5*(1+A_pore*M$6*($A88/100))/(1-M$6*(1+((1-phimax_pore)/phimax_pore^2)*($A88/100))*($A88/100))</f>
        <v>1.21096175135392</v>
      </c>
      <c r="N88" s="9" t="n">
        <f aca="false">N$5*(1+A_pore*N$6*($A88/100))/(1-N$6*(1+((1-phimax_pore)/phimax_pore^2)*($A88/100))*($A88/100))</f>
        <v>1.21201425643446</v>
      </c>
      <c r="O88" s="9" t="n">
        <f aca="false">O$5*(1+A_pore*O$6*($A88/100))/(1-O$6*(1+((1-phimax_pore)/phimax_pore^2)*($A88/100))*($A88/100))</f>
        <v>1.21308749790764</v>
      </c>
      <c r="P88" s="9" t="n">
        <f aca="false">P$5*(1+A_pore*P$6*($A88/100))/(1-P$6*(1+((1-phimax_pore)/phimax_pore^2)*($A88/100))*($A88/100))</f>
        <v>1.21418218464938</v>
      </c>
      <c r="Q88" s="9" t="n">
        <f aca="false">Q$5*(1+A_pore*Q$6*($A88/100))/(1-Q$6*(1+((1-phimax_pore)/phimax_pore^2)*($A88/100))*($A88/100))</f>
        <v>1.21529906124085</v>
      </c>
      <c r="R88" s="9" t="n">
        <f aca="false">R$5*(1+A_pore*R$6*($A88/100))/(1-R$6*(1+((1-phimax_pore)/phimax_pore^2)*($A88/100))*($A88/100))</f>
        <v>1.21643891035771</v>
      </c>
      <c r="S88" s="9" t="n">
        <f aca="false">S$5*(1+A_pore*S$6*($A88/100))/(1-S$6*(1+((1-phimax_pore)/phimax_pore^2)*($A88/100))*($A88/100))</f>
        <v>1.21760255535839</v>
      </c>
      <c r="T88" s="9" t="n">
        <f aca="false">T$5*(1+A_pore*T$6*($A88/100))/(1-T$6*(1+((1-phimax_pore)/phimax_pore^2)*($A88/100))*($A88/100))</f>
        <v>1.21879086309142</v>
      </c>
      <c r="U88" s="9" t="n">
        <f aca="false">U$5*(1+A_pore*U$6*($A88/100))/(1-U$6*(1+((1-phimax_pore)/phimax_pore^2)*($A88/100))*($A88/100))</f>
        <v>1.22000474694385</v>
      </c>
      <c r="V88" s="9" t="n">
        <f aca="false">V$5*(1+A_pore*V$6*($A88/100))/(1-V$6*(1+((1-phimax_pore)/phimax_pore^2)*($A88/100))*($A88/100))</f>
        <v>1.22124517015558</v>
      </c>
      <c r="W88" s="9" t="n">
        <f aca="false">W$5*(1+A_pore*W$6*($A88/100))/(1-W$6*(1+((1-phimax_pore)/phimax_pore^2)*($A88/100))*($A88/100))</f>
        <v>1.22251314942734</v>
      </c>
      <c r="X88" s="9" t="n">
        <f aca="false">X$5*(1+A_pore*X$6*($A88/100))/(1-X$6*(1+((1-phimax_pore)/phimax_pore^2)*($A88/100))*($A88/100))</f>
        <v>1.22380975885343</v>
      </c>
      <c r="Y88" s="9" t="n">
        <f aca="false">Y$5*(1+A_pore*Y$6*($A88/100))/(1-Y$6*(1+((1-phimax_pore)/phimax_pore^2)*($A88/100))*($A88/100))</f>
        <v>1.22513613421417</v>
      </c>
      <c r="Z88" s="9" t="n">
        <f aca="false">Z$5*(1+A_pore*Z$6*($A88/100))/(1-Z$6*(1+((1-phimax_pore)/phimax_pore^2)*($A88/100))*($A88/100))</f>
        <v>1.22649347766734</v>
      </c>
      <c r="AA88" s="9" t="n">
        <f aca="false">AA$5*(1+A_pore*AA$6*($A88/100))/(1-AA$6*(1+((1-phimax_pore)/phimax_pore^2)*($A88/100))*($A88/100))</f>
        <v>1.22788306288313</v>
      </c>
      <c r="AB88" s="9" t="n">
        <f aca="false">AB$5*(1+A_pore*AB$6*($A88/100))/(1-AB$6*(1+((1-phimax_pore)/phimax_pore^2)*($A88/100))*($A88/100))</f>
        <v>1.22930624067248</v>
      </c>
      <c r="AC88" s="9" t="n">
        <f aca="false">AC$5*(1+A_pore*AC$6*($A88/100))/(1-AC$6*(1+((1-phimax_pore)/phimax_pore^2)*($A88/100))*($A88/100))</f>
        <v>1.23076444516562</v>
      </c>
      <c r="AD88" s="9" t="n">
        <f aca="false">AD$5*(1+A_pore*AD$6*($A88/100))/(1-AD$6*(1+((1-phimax_pore)/phimax_pore^2)*($A88/100))*($A88/100))</f>
        <v>1.23225920060518</v>
      </c>
      <c r="AE88" s="9" t="n">
        <f aca="false">AE$5*(1+A_pore*AE$6*($A88/100))/(1-AE$6*(1+((1-phimax_pore)/phimax_pore^2)*($A88/100))*($A88/100))</f>
        <v>1.23379212882675</v>
      </c>
      <c r="AF88" s="9" t="n">
        <f aca="false">AF$5*(1+A_pore*AF$6*($A88/100))/(1-AF$6*(1+((1-phimax_pore)/phimax_pore^2)*($A88/100))*($A88/100))</f>
        <v>1.23536495751019</v>
      </c>
      <c r="AG88" s="9" t="n">
        <f aca="false">AG$5*(1+A_pore*AG$6*($A88/100))/(1-AG$6*(1+((1-phimax_pore)/phimax_pore^2)*($A88/100))*($A88/100))</f>
        <v>1.23697952929659</v>
      </c>
      <c r="AH88" s="9" t="n">
        <f aca="false">AH$5*(1+A_pore*AH$6*($A88/100))/(1-AH$6*(1+((1-phimax_pore)/phimax_pore^2)*($A88/100))*($A88/100))</f>
        <v>1.23863781187947</v>
      </c>
      <c r="AI88" s="9" t="n">
        <f aca="false">AI$5*(1+A_pore*AI$6*($A88/100))/(1-AI$6*(1+((1-phimax_pore)/phimax_pore^2)*($A88/100))*($A88/100))</f>
        <v>1.24034190919455</v>
      </c>
      <c r="AJ88" s="9" t="n">
        <f aca="false">AJ$5*(1+A_pore*AJ$6*($A88/100))/(1-AJ$6*(1+((1-phimax_pore)/phimax_pore^2)*($A88/100))*($A88/100))</f>
        <v>1.24209407385131</v>
      </c>
      <c r="AK88" s="9" t="n">
        <f aca="false">AK$5*(1+A_pore*AK$6*($A88/100))/(1-AK$6*(1+((1-phimax_pore)/phimax_pore^2)*($A88/100))*($A88/100))</f>
        <v>1.24389672097085</v>
      </c>
    </row>
    <row r="89" customFormat="false" ht="15" hidden="false" customHeight="false" outlineLevel="0" collapsed="false">
      <c r="A89" s="4" t="n">
        <v>80</v>
      </c>
      <c r="B89" s="9" t="n">
        <f aca="false">B$5*(1+A_pore*B$6*($A89/100))/(1-B$6*(1+((1-phimax_pore)/phimax_pore^2)*($A89/100))*($A89/100))</f>
        <v>1.18920317649768</v>
      </c>
      <c r="C89" s="9" t="n">
        <f aca="false">C$5*(1+A_pore*C$6*($A89/100))/(1-C$6*(1+((1-phimax_pore)/phimax_pore^2)*($A89/100))*($A89/100))</f>
        <v>1.1900133979839</v>
      </c>
      <c r="D89" s="9" t="n">
        <f aca="false">D$5*(1+A_pore*D$6*($A89/100))/(1-D$6*(1+((1-phimax_pore)/phimax_pore^2)*($A89/100))*($A89/100))</f>
        <v>1.19083747785359</v>
      </c>
      <c r="E89" s="9" t="n">
        <f aca="false">E$5*(1+A_pore*E$6*($A89/100))/(1-E$6*(1+((1-phimax_pore)/phimax_pore^2)*($A89/100))*($A89/100))</f>
        <v>1.19167582140245</v>
      </c>
      <c r="F89" s="9" t="n">
        <f aca="false">F$5*(1+A_pore*F$6*($A89/100))/(1-F$6*(1+((1-phimax_pore)/phimax_pore^2)*($A89/100))*($A89/100))</f>
        <v>1.19252885134833</v>
      </c>
      <c r="G89" s="9" t="n">
        <f aca="false">G$5*(1+A_pore*G$6*($A89/100))/(1-G$6*(1+((1-phimax_pore)/phimax_pore^2)*($A89/100))*($A89/100))</f>
        <v>1.19339700882889</v>
      </c>
      <c r="H89" s="9" t="n">
        <f aca="false">H$5*(1+A_pore*H$6*($A89/100))/(1-H$6*(1+((1-phimax_pore)/phimax_pore^2)*($A89/100))*($A89/100))</f>
        <v>1.19428075447068</v>
      </c>
      <c r="I89" s="9" t="n">
        <f aca="false">I$5*(1+A_pore*I$6*($A89/100))/(1-I$6*(1+((1-phimax_pore)/phimax_pore^2)*($A89/100))*($A89/100))</f>
        <v>1.19518056953561</v>
      </c>
      <c r="J89" s="9" t="n">
        <f aca="false">J$5*(1+A_pore*J$6*($A89/100))/(1-J$6*(1+((1-phimax_pore)/phimax_pore^2)*($A89/100))*($A89/100))</f>
        <v>1.19609695715169</v>
      </c>
      <c r="K89" s="9" t="n">
        <f aca="false">K$5*(1+A_pore*K$6*($A89/100))/(1-K$6*(1+((1-phimax_pore)/phimax_pore^2)*($A89/100))*($A89/100))</f>
        <v>1.19703044363534</v>
      </c>
      <c r="L89" s="9" t="n">
        <f aca="false">L$5*(1+A_pore*L$6*($A89/100))/(1-L$6*(1+((1-phimax_pore)/phimax_pore^2)*($A89/100))*($A89/100))</f>
        <v>1.19798157991353</v>
      </c>
      <c r="M89" s="9" t="n">
        <f aca="false">M$5*(1+A_pore*M$6*($A89/100))/(1-M$6*(1+((1-phimax_pore)/phimax_pore^2)*($A89/100))*($A89/100))</f>
        <v>1.19895094305464</v>
      </c>
      <c r="N89" s="9" t="n">
        <f aca="false">N$5*(1+A_pore*N$6*($A89/100))/(1-N$6*(1+((1-phimax_pore)/phimax_pore^2)*($A89/100))*($A89/100))</f>
        <v>1.19993913791808</v>
      </c>
      <c r="O89" s="9" t="n">
        <f aca="false">O$5*(1+A_pore*O$6*($A89/100))/(1-O$6*(1+((1-phimax_pore)/phimax_pore^2)*($A89/100))*($A89/100))</f>
        <v>1.20094679893375</v>
      </c>
      <c r="P89" s="9" t="n">
        <f aca="false">P$5*(1+A_pore*P$6*($A89/100))/(1-P$6*(1+((1-phimax_pore)/phimax_pore^2)*($A89/100))*($A89/100))</f>
        <v>1.20197459202345</v>
      </c>
      <c r="Q89" s="9" t="n">
        <f aca="false">Q$5*(1+A_pore*Q$6*($A89/100))/(1-Q$6*(1+((1-phimax_pore)/phimax_pore^2)*($A89/100))*($A89/100))</f>
        <v>1.2030232166778</v>
      </c>
      <c r="R89" s="9" t="n">
        <f aca="false">R$5*(1+A_pore*R$6*($A89/100))/(1-R$6*(1+((1-phimax_pore)/phimax_pore^2)*($A89/100))*($A89/100))</f>
        <v>1.20409340820385</v>
      </c>
      <c r="S89" s="9" t="n">
        <f aca="false">S$5*(1+A_pore*S$6*($A89/100))/(1-S$6*(1+((1-phimax_pore)/phimax_pore^2)*($A89/100))*($A89/100))</f>
        <v>1.20518594016005</v>
      </c>
      <c r="T89" s="9" t="n">
        <f aca="false">T$5*(1+A_pore*T$6*($A89/100))/(1-T$6*(1+((1-phimax_pore)/phimax_pore^2)*($A89/100))*($A89/100))</f>
        <v>1.20630162699726</v>
      </c>
      <c r="U89" s="9" t="n">
        <f aca="false">U$5*(1+A_pore*U$6*($A89/100))/(1-U$6*(1+((1-phimax_pore)/phimax_pore^2)*($A89/100))*($A89/100))</f>
        <v>1.20744132692676</v>
      </c>
      <c r="V89" s="9" t="n">
        <f aca="false">V$5*(1+A_pore*V$6*($A89/100))/(1-V$6*(1+((1-phimax_pore)/phimax_pore^2)*($A89/100))*($A89/100))</f>
        <v>1.20860594503842</v>
      </c>
      <c r="W89" s="9" t="n">
        <f aca="false">W$5*(1+A_pore*W$6*($A89/100))/(1-W$6*(1+((1-phimax_pore)/phimax_pore^2)*($A89/100))*($A89/100))</f>
        <v>1.2097964366953</v>
      </c>
      <c r="X89" s="9" t="n">
        <f aca="false">X$5*(1+A_pore*X$6*($A89/100))/(1-X$6*(1+((1-phimax_pore)/phimax_pore^2)*($A89/100))*($A89/100))</f>
        <v>1.21101381123387</v>
      </c>
      <c r="Y89" s="9" t="n">
        <f aca="false">Y$5*(1+A_pore*Y$6*($A89/100))/(1-Y$6*(1+((1-phimax_pore)/phimax_pore^2)*($A89/100))*($A89/100))</f>
        <v>1.21225913600273</v>
      </c>
      <c r="Z89" s="9" t="n">
        <f aca="false">Z$5*(1+A_pore*Z$6*($A89/100))/(1-Z$6*(1+((1-phimax_pore)/phimax_pore^2)*($A89/100))*($A89/100))</f>
        <v>1.213533540777</v>
      </c>
      <c r="AA89" s="9" t="n">
        <f aca="false">AA$5*(1+A_pore*AA$6*($A89/100))/(1-AA$6*(1+((1-phimax_pore)/phimax_pore^2)*($A89/100))*($A89/100))</f>
        <v>1.21483822258991</v>
      </c>
      <c r="AB89" s="9" t="n">
        <f aca="false">AB$5*(1+A_pore*AB$6*($A89/100))/(1-AB$6*(1+((1-phimax_pore)/phimax_pore^2)*($A89/100))*($A89/100))</f>
        <v>1.21617445102896</v>
      </c>
      <c r="AC89" s="9" t="n">
        <f aca="false">AC$5*(1+A_pore*AC$6*($A89/100))/(1-AC$6*(1+((1-phimax_pore)/phimax_pore^2)*($A89/100))*($A89/100))</f>
        <v>1.21754357404992</v>
      </c>
      <c r="AD89" s="9" t="n">
        <f aca="false">AD$5*(1+A_pore*AD$6*($A89/100))/(1-AD$6*(1+((1-phimax_pore)/phimax_pore^2)*($A89/100))*($A89/100))</f>
        <v>1.21894702436914</v>
      </c>
      <c r="AE89" s="9" t="n">
        <f aca="false">AE$5*(1+A_pore*AE$6*($A89/100))/(1-AE$6*(1+((1-phimax_pore)/phimax_pore^2)*($A89/100))*($A89/100))</f>
        <v>1.22038632650308</v>
      </c>
      <c r="AF89" s="9" t="n">
        <f aca="false">AF$5*(1+A_pore*AF$6*($A89/100))/(1-AF$6*(1+((1-phimax_pore)/phimax_pore^2)*($A89/100))*($A89/100))</f>
        <v>1.22186310453328</v>
      </c>
      <c r="AG89" s="9" t="n">
        <f aca="false">AG$5*(1+A_pore*AG$6*($A89/100))/(1-AG$6*(1+((1-phimax_pore)/phimax_pore^2)*($A89/100))*($A89/100))</f>
        <v>1.22337909068605</v>
      </c>
      <c r="AH89" s="9" t="n">
        <f aca="false">AH$5*(1+A_pore*AH$6*($A89/100))/(1-AH$6*(1+((1-phimax_pore)/phimax_pore^2)*($A89/100))*($A89/100))</f>
        <v>1.22493613482929</v>
      </c>
      <c r="AI89" s="9" t="n">
        <f aca="false">AI$5*(1+A_pore*AI$6*($A89/100))/(1-AI$6*(1+((1-phimax_pore)/phimax_pore^2)*($A89/100))*($A89/100))</f>
        <v>1.22653621500339</v>
      </c>
      <c r="AJ89" s="9" t="n">
        <f aca="false">AJ$5*(1+A_pore*AJ$6*($A89/100))/(1-AJ$6*(1+((1-phimax_pore)/phimax_pore^2)*($A89/100))*($A89/100))</f>
        <v>1.22818144912092</v>
      </c>
      <c r="AK89" s="9" t="n">
        <f aca="false">AK$5*(1+A_pore*AK$6*($A89/100))/(1-AK$6*(1+((1-phimax_pore)/phimax_pore^2)*($A89/100))*($A89/100))</f>
        <v>1.22987410799024</v>
      </c>
    </row>
    <row r="90" customFormat="false" ht="15" hidden="false" customHeight="false" outlineLevel="0" collapsed="false">
      <c r="A90" s="4" t="n">
        <v>81</v>
      </c>
      <c r="B90" s="9" t="n">
        <f aca="false">B$5*(1+A_pore*B$6*($A90/100))/(1-B$6*(1+((1-phimax_pore)/phimax_pore^2)*($A90/100))*($A90/100))</f>
        <v>1.17799865648247</v>
      </c>
      <c r="C90" s="9" t="n">
        <f aca="false">C$5*(1+A_pore*C$6*($A90/100))/(1-C$6*(1+((1-phimax_pore)/phimax_pore^2)*($A90/100))*($A90/100))</f>
        <v>1.17875749942573</v>
      </c>
      <c r="D90" s="9" t="n">
        <f aca="false">D$5*(1+A_pore*D$6*($A90/100))/(1-D$6*(1+((1-phimax_pore)/phimax_pore^2)*($A90/100))*($A90/100))</f>
        <v>1.17952931745999</v>
      </c>
      <c r="E90" s="9" t="n">
        <f aca="false">E$5*(1+A_pore*E$6*($A90/100))/(1-E$6*(1+((1-phimax_pore)/phimax_pore^2)*($A90/100))*($A90/100))</f>
        <v>1.18031449026564</v>
      </c>
      <c r="F90" s="9" t="n">
        <f aca="false">F$5*(1+A_pore*F$6*($A90/100))/(1-F$6*(1+((1-phimax_pore)/phimax_pore^2)*($A90/100))*($A90/100))</f>
        <v>1.1811134138574</v>
      </c>
      <c r="G90" s="9" t="n">
        <f aca="false">G$5*(1+A_pore*G$6*($A90/100))/(1-G$6*(1+((1-phimax_pore)/phimax_pore^2)*($A90/100))*($A90/100))</f>
        <v>1.18192650152042</v>
      </c>
      <c r="H90" s="9" t="n">
        <f aca="false">H$5*(1+A_pore*H$6*($A90/100))/(1-H$6*(1+((1-phimax_pore)/phimax_pore^2)*($A90/100))*($A90/100))</f>
        <v>1.18275418481319</v>
      </c>
      <c r="I90" s="9" t="n">
        <f aca="false">I$5*(1+A_pore*I$6*($A90/100))/(1-I$6*(1+((1-phimax_pore)/phimax_pore^2)*($A90/100))*($A90/100))</f>
        <v>1.18359691464333</v>
      </c>
      <c r="J90" s="9" t="n">
        <f aca="false">J$5*(1+A_pore*J$6*($A90/100))/(1-J$6*(1+((1-phimax_pore)/phimax_pore^2)*($A90/100))*($A90/100))</f>
        <v>1.18445516242234</v>
      </c>
      <c r="K90" s="9" t="n">
        <f aca="false">K$5*(1+A_pore*K$6*($A90/100))/(1-K$6*(1+((1-phimax_pore)/phimax_pore^2)*($A90/100))*($A90/100))</f>
        <v>1.18532942130633</v>
      </c>
      <c r="L90" s="9" t="n">
        <f aca="false">L$5*(1+A_pore*L$6*($A90/100))/(1-L$6*(1+((1-phimax_pore)/phimax_pore^2)*($A90/100))*($A90/100))</f>
        <v>1.18622020753049</v>
      </c>
      <c r="M90" s="9" t="n">
        <f aca="false">M$5*(1+A_pore*M$6*($A90/100))/(1-M$6*(1+((1-phimax_pore)/phimax_pore^2)*($A90/100))*($A90/100))</f>
        <v>1.18712806184561</v>
      </c>
      <c r="N90" s="9" t="n">
        <f aca="false">N$5*(1+A_pore*N$6*($A90/100))/(1-N$6*(1+((1-phimax_pore)/phimax_pore^2)*($A90/100))*($A90/100))</f>
        <v>1.18805355106609</v>
      </c>
      <c r="O90" s="9" t="n">
        <f aca="false">O$5*(1+A_pore*O$6*($A90/100))/(1-O$6*(1+((1-phimax_pore)/phimax_pore^2)*($A90/100))*($A90/100))</f>
        <v>1.18899726973981</v>
      </c>
      <c r="P90" s="9" t="n">
        <f aca="false">P$5*(1+A_pore*P$6*($A90/100))/(1-P$6*(1+((1-phimax_pore)/phimax_pore^2)*($A90/100))*($A90/100))</f>
        <v>1.18995984195125</v>
      </c>
      <c r="Q90" s="9" t="n">
        <f aca="false">Q$5*(1+A_pore*Q$6*($A90/100))/(1-Q$6*(1+((1-phimax_pore)/phimax_pore^2)*($A90/100))*($A90/100))</f>
        <v>1.19094192327072</v>
      </c>
      <c r="R90" s="9" t="n">
        <f aca="false">R$5*(1+A_pore*R$6*($A90/100))/(1-R$6*(1+((1-phimax_pore)/phimax_pore^2)*($A90/100))*($A90/100))</f>
        <v>1.1919442028637</v>
      </c>
      <c r="S90" s="9" t="n">
        <f aca="false">S$5*(1+A_pore*S$6*($A90/100))/(1-S$6*(1+((1-phimax_pore)/phimax_pore^2)*($A90/100))*($A90/100))</f>
        <v>1.19296740577614</v>
      </c>
      <c r="T90" s="9" t="n">
        <f aca="false">T$5*(1+A_pore*T$6*($A90/100))/(1-T$6*(1+((1-phimax_pore)/phimax_pore^2)*($A90/100))*($A90/100))</f>
        <v>1.1940122954132</v>
      </c>
      <c r="U90" s="9" t="n">
        <f aca="false">U$5*(1+A_pore*U$6*($A90/100))/(1-U$6*(1+((1-phimax_pore)/phimax_pore^2)*($A90/100))*($A90/100))</f>
        <v>1.19507967623112</v>
      </c>
      <c r="V90" s="9" t="n">
        <f aca="false">V$5*(1+A_pore*V$6*($A90/100))/(1-V$6*(1+((1-phimax_pore)/phimax_pore^2)*($A90/100))*($A90/100))</f>
        <v>1.19617039666397</v>
      </c>
      <c r="W90" s="9" t="n">
        <f aca="false">W$5*(1+A_pore*W$6*($A90/100))/(1-W$6*(1+((1-phimax_pore)/phimax_pore^2)*($A90/100))*($A90/100))</f>
        <v>1.1972853523099</v>
      </c>
      <c r="X90" s="9" t="n">
        <f aca="false">X$5*(1+A_pore*X$6*($A90/100))/(1-X$6*(1+((1-phimax_pore)/phimax_pore^2)*($A90/100))*($A90/100))</f>
        <v>1.19842548940438</v>
      </c>
      <c r="Y90" s="9" t="n">
        <f aca="false">Y$5*(1+A_pore*Y$6*($A90/100))/(1-Y$6*(1+((1-phimax_pore)/phimax_pore^2)*($A90/100))*($A90/100))</f>
        <v>1.1995918086113</v>
      </c>
      <c r="Z90" s="9" t="n">
        <f aca="false">Z$5*(1+A_pore*Z$6*($A90/100))/(1-Z$6*(1+((1-phimax_pore)/phimax_pore^2)*($A90/100))*($A90/100))</f>
        <v>1.20078536916672</v>
      </c>
      <c r="AA90" s="9" t="n">
        <f aca="false">AA$5*(1+A_pore*AA$6*($A90/100))/(1-AA$6*(1+((1-phimax_pore)/phimax_pore^2)*($A90/100))*($A90/100))</f>
        <v>1.20200729341444</v>
      </c>
      <c r="AB90" s="9" t="n">
        <f aca="false">AB$5*(1+A_pore*AB$6*($A90/100))/(1-AB$6*(1+((1-phimax_pore)/phimax_pore^2)*($A90/100))*($A90/100))</f>
        <v>1.20325877177777</v>
      </c>
      <c r="AC90" s="9" t="n">
        <f aca="false">AC$5*(1+A_pore*AC$6*($A90/100))/(1-AC$6*(1+((1-phimax_pore)/phimax_pore^2)*($A90/100))*($A90/100))</f>
        <v>1.20454106821748</v>
      </c>
      <c r="AD90" s="9" t="n">
        <f aca="false">AD$5*(1+A_pore*AD$6*($A90/100))/(1-AD$6*(1+((1-phimax_pore)/phimax_pore^2)*($A90/100))*($A90/100))</f>
        <v>1.20585552623294</v>
      </c>
      <c r="AE90" s="9" t="n">
        <f aca="false">AE$5*(1+A_pore*AE$6*($A90/100))/(1-AE$6*(1+((1-phimax_pore)/phimax_pore^2)*($A90/100))*($A90/100))</f>
        <v>1.20720357547085</v>
      </c>
      <c r="AF90" s="9" t="n">
        <f aca="false">AF$5*(1+A_pore*AF$6*($A90/100))/(1-AF$6*(1+((1-phimax_pore)/phimax_pore^2)*($A90/100))*($A90/100))</f>
        <v>1.20858673901525</v>
      </c>
      <c r="AG90" s="9" t="n">
        <f aca="false">AG$5*(1+A_pore*AG$6*($A90/100))/(1-AG$6*(1+((1-phimax_pore)/phimax_pore^2)*($A90/100))*($A90/100))</f>
        <v>1.21000664144264</v>
      </c>
      <c r="AH90" s="9" t="n">
        <f aca="false">AH$5*(1+A_pore*AH$6*($A90/100))/(1-AH$6*(1+((1-phimax_pore)/phimax_pore^2)*($A90/100))*($A90/100))</f>
        <v>1.21146501773825</v>
      </c>
      <c r="AI90" s="9" t="n">
        <f aca="false">AI$5*(1+A_pore*AI$6*($A90/100))/(1-AI$6*(1+((1-phimax_pore)/phimax_pore^2)*($A90/100))*($A90/100))</f>
        <v>1.21296372318339</v>
      </c>
      <c r="AJ90" s="9" t="n">
        <f aca="false">AJ$5*(1+A_pore*AJ$6*($A90/100))/(1-AJ$6*(1+((1-phimax_pore)/phimax_pore^2)*($A90/100))*($A90/100))</f>
        <v>1.21450474434049</v>
      </c>
      <c r="AK90" s="9" t="n">
        <f aca="false">AK$5*(1+A_pore*AK$6*($A90/100))/(1-AK$6*(1+((1-phimax_pore)/phimax_pore^2)*($A90/100))*($A90/100))</f>
        <v>1.21609021128124</v>
      </c>
    </row>
    <row r="91" customFormat="false" ht="15" hidden="false" customHeight="false" outlineLevel="0" collapsed="false">
      <c r="A91" s="4" t="n">
        <v>82</v>
      </c>
      <c r="B91" s="9" t="n">
        <f aca="false">B$5*(1+A_pore*B$6*($A91/100))/(1-B$6*(1+((1-phimax_pore)/phimax_pore^2)*($A91/100))*($A91/100))</f>
        <v>1.16696248151602</v>
      </c>
      <c r="C91" s="9" t="n">
        <f aca="false">C$5*(1+A_pore*C$6*($A91/100))/(1-C$6*(1+((1-phimax_pore)/phimax_pore^2)*($A91/100))*($A91/100))</f>
        <v>1.16767120242335</v>
      </c>
      <c r="D91" s="9" t="n">
        <f aca="false">D$5*(1+A_pore*D$6*($A91/100))/(1-D$6*(1+((1-phimax_pore)/phimax_pore^2)*($A91/100))*($A91/100))</f>
        <v>1.16839203831239</v>
      </c>
      <c r="E91" s="9" t="n">
        <f aca="false">E$5*(1+A_pore*E$6*($A91/100))/(1-E$6*(1+((1-phimax_pore)/phimax_pore^2)*($A91/100))*($A91/100))</f>
        <v>1.16912534391883</v>
      </c>
      <c r="F91" s="9" t="n">
        <f aca="false">F$5*(1+A_pore*F$6*($A91/100))/(1-F$6*(1+((1-phimax_pore)/phimax_pore^2)*($A91/100))*($A91/100))</f>
        <v>1.16987148925244</v>
      </c>
      <c r="G91" s="9" t="n">
        <f aca="false">G$5*(1+A_pore*G$6*($A91/100))/(1-G$6*(1+((1-phimax_pore)/phimax_pore^2)*($A91/100))*($A91/100))</f>
        <v>1.17063086047293</v>
      </c>
      <c r="H91" s="9" t="n">
        <f aca="false">H$5*(1+A_pore*H$6*($A91/100))/(1-H$6*(1+((1-phimax_pore)/phimax_pore^2)*($A91/100))*($A91/100))</f>
        <v>1.17140386082853</v>
      </c>
      <c r="I91" s="9" t="n">
        <f aca="false">I$5*(1+A_pore*I$6*($A91/100))/(1-I$6*(1+((1-phimax_pore)/phimax_pore^2)*($A91/100))*($A91/100))</f>
        <v>1.17219091166264</v>
      </c>
      <c r="J91" s="9" t="n">
        <f aca="false">J$5*(1+A_pore*J$6*($A91/100))/(1-J$6*(1+((1-phimax_pore)/phimax_pore^2)*($A91/100))*($A91/100))</f>
        <v>1.17299245349446</v>
      </c>
      <c r="K91" s="9" t="n">
        <f aca="false">K$5*(1+A_pore*K$6*($A91/100))/(1-K$6*(1+((1-phimax_pore)/phimax_pore^2)*($A91/100))*($A91/100))</f>
        <v>1.17380894718019</v>
      </c>
      <c r="L91" s="9" t="n">
        <f aca="false">L$5*(1+A_pore*L$6*($A91/100))/(1-L$6*(1+((1-phimax_pore)/phimax_pore^2)*($A91/100))*($A91/100))</f>
        <v>1.17464087516187</v>
      </c>
      <c r="M91" s="9" t="n">
        <f aca="false">M$5*(1+A_pore*M$6*($A91/100))/(1-M$6*(1+((1-phimax_pore)/phimax_pore^2)*($A91/100))*($A91/100))</f>
        <v>1.17548874281179</v>
      </c>
      <c r="N91" s="9" t="n">
        <f aca="false">N$5*(1+A_pore*N$6*($A91/100))/(1-N$6*(1+((1-phimax_pore)/phimax_pore^2)*($A91/100))*($A91/100))</f>
        <v>1.17635307988141</v>
      </c>
      <c r="O91" s="9" t="n">
        <f aca="false">O$5*(1+A_pore*O$6*($A91/100))/(1-O$6*(1+((1-phimax_pore)/phimax_pore^2)*($A91/100))*($A91/100))</f>
        <v>1.1772344420642</v>
      </c>
      <c r="P91" s="9" t="n">
        <f aca="false">P$5*(1+A_pore*P$6*($A91/100))/(1-P$6*(1+((1-phimax_pore)/phimax_pore^2)*($A91/100))*($A91/100))</f>
        <v>1.17813341268338</v>
      </c>
      <c r="Q91" s="9" t="n">
        <f aca="false">Q$5*(1+A_pore*Q$6*($A91/100))/(1-Q$6*(1+((1-phimax_pore)/phimax_pore^2)*($A91/100))*($A91/100))</f>
        <v>1.17905060451641</v>
      </c>
      <c r="R91" s="9" t="n">
        <f aca="false">R$5*(1+A_pore*R$6*($A91/100))/(1-R$6*(1+((1-phimax_pore)/phimax_pore^2)*($A91/100))*($A91/100))</f>
        <v>1.17998666176935</v>
      </c>
      <c r="S91" s="9" t="n">
        <f aca="false">S$5*(1+A_pore*S$6*($A91/100))/(1-S$6*(1+((1-phimax_pore)/phimax_pore^2)*($A91/100))*($A91/100))</f>
        <v>1.18094226221613</v>
      </c>
      <c r="T91" s="9" t="n">
        <f aca="false">T$5*(1+A_pore*T$6*($A91/100))/(1-T$6*(1+((1-phimax_pore)/phimax_pore^2)*($A91/100))*($A91/100))</f>
        <v>1.1819181195188</v>
      </c>
      <c r="U91" s="9" t="n">
        <f aca="false">U$5*(1+A_pore*U$6*($A91/100))/(1-U$6*(1+((1-phimax_pore)/phimax_pore^2)*($A91/100))*($A91/100))</f>
        <v>1.18291498574743</v>
      </c>
      <c r="V91" s="9" t="n">
        <f aca="false">V$5*(1+A_pore*V$6*($A91/100))/(1-V$6*(1+((1-phimax_pore)/phimax_pore^2)*($A91/100))*($A91/100))</f>
        <v>1.18393365411996</v>
      </c>
      <c r="W91" s="9" t="n">
        <f aca="false">W$5*(1+A_pore*W$6*($A91/100))/(1-W$6*(1+((1-phimax_pore)/phimax_pore^2)*($A91/100))*($A91/100))</f>
        <v>1.18497496198503</v>
      </c>
      <c r="X91" s="9" t="n">
        <f aca="false">X$5*(1+A_pore*X$6*($A91/100))/(1-X$6*(1+((1-phimax_pore)/phimax_pore^2)*($A91/100))*($A91/100))</f>
        <v>1.18603979407357</v>
      </c>
      <c r="Y91" s="9" t="n">
        <f aca="false">Y$5*(1+A_pore*Y$6*($A91/100))/(1-Y$6*(1+((1-phimax_pore)/phimax_pore^2)*($A91/100))*($A91/100))</f>
        <v>1.18712908604805</v>
      </c>
      <c r="Z91" s="9" t="n">
        <f aca="false">Z$5*(1+A_pore*Z$6*($A91/100))/(1-Z$6*(1+((1-phimax_pore)/phimax_pore^2)*($A91/100))*($A91/100))</f>
        <v>1.18824382838199</v>
      </c>
      <c r="AA91" s="9" t="n">
        <f aca="false">AA$5*(1+A_pore*AA$6*($A91/100))/(1-AA$6*(1+((1-phimax_pore)/phimax_pore^2)*($A91/100))*($A91/100))</f>
        <v>1.18938507060642</v>
      </c>
      <c r="AB91" s="9" t="n">
        <f aca="false">AB$5*(1+A_pore*AB$6*($A91/100))/(1-AB$6*(1+((1-phimax_pore)/phimax_pore^2)*($A91/100))*($A91/100))</f>
        <v>1.19055392596476</v>
      </c>
      <c r="AC91" s="9" t="n">
        <f aca="false">AC$5*(1+A_pore*AC$6*($A91/100))/(1-AC$6*(1+((1-phimax_pore)/phimax_pore^2)*($A91/100))*($A91/100))</f>
        <v>1.19175157652317</v>
      </c>
      <c r="AD91" s="9" t="n">
        <f aca="false">AD$5*(1+A_pore*AD$6*($A91/100))/(1-AD$6*(1+((1-phimax_pore)/phimax_pore^2)*($A91/100))*($A91/100))</f>
        <v>1.19297927878944</v>
      </c>
      <c r="AE91" s="9" t="n">
        <f aca="false">AE$5*(1+A_pore*AE$6*($A91/100))/(1-AE$6*(1+((1-phimax_pore)/phimax_pore^2)*($A91/100))*($A91/100))</f>
        <v>1.19423836990102</v>
      </c>
      <c r="AF91" s="9" t="n">
        <f aca="false">AF$5*(1+A_pore*AF$6*($A91/100))/(1-AF$6*(1+((1-phimax_pore)/phimax_pore^2)*($A91/100))*($A91/100))</f>
        <v>1.19553027445111</v>
      </c>
      <c r="AG91" s="9" t="n">
        <f aca="false">AG$5*(1+A_pore*AG$6*($A91/100))/(1-AG$6*(1+((1-phimax_pore)/phimax_pore^2)*($A91/100))*($A91/100))</f>
        <v>1.19685651203128</v>
      </c>
      <c r="AH91" s="9" t="n">
        <f aca="false">AH$5*(1+A_pore*AH$6*($A91/100))/(1-AH$6*(1+((1-phimax_pore)/phimax_pore^2)*($A91/100))*($A91/100))</f>
        <v>1.19821870558062</v>
      </c>
      <c r="AI91" s="9" t="n">
        <f aca="false">AI$5*(1+A_pore*AI$6*($A91/100))/(1-AI$6*(1+((1-phimax_pore)/phimax_pore^2)*($A91/100))*($A91/100))</f>
        <v>1.19961859064446</v>
      </c>
      <c r="AJ91" s="9" t="n">
        <f aca="false">AJ$5*(1+A_pore*AJ$6*($A91/100))/(1-AJ$6*(1+((1-phimax_pore)/phimax_pore^2)*($A91/100))*($A91/100))</f>
        <v>1.20105802566108</v>
      </c>
      <c r="AK91" s="9" t="n">
        <f aca="false">AK$5*(1+A_pore*AK$6*($A91/100))/(1-AK$6*(1+((1-phimax_pore)/phimax_pore^2)*($A91/100))*($A91/100))</f>
        <v>1.20253900341281</v>
      </c>
    </row>
    <row r="92" customFormat="false" ht="15" hidden="false" customHeight="false" outlineLevel="0" collapsed="false">
      <c r="A92" s="4" t="n">
        <v>83</v>
      </c>
      <c r="B92" s="9" t="n">
        <f aca="false">B$5*(1+A_pore*B$6*($A92/100))/(1-B$6*(1+((1-phimax_pore)/phimax_pore^2)*($A92/100))*($A92/100))</f>
        <v>1.15609089572459</v>
      </c>
      <c r="C92" s="9" t="n">
        <f aca="false">C$5*(1+A_pore*C$6*($A92/100))/(1-C$6*(1+((1-phimax_pore)/phimax_pore^2)*($A92/100))*($A92/100))</f>
        <v>1.15675071232067</v>
      </c>
      <c r="D92" s="9" t="n">
        <f aca="false">D$5*(1+A_pore*D$6*($A92/100))/(1-D$6*(1+((1-phimax_pore)/phimax_pore^2)*($A92/100))*($A92/100))</f>
        <v>1.15742180617338</v>
      </c>
      <c r="E92" s="9" t="n">
        <f aca="false">E$5*(1+A_pore*E$6*($A92/100))/(1-E$6*(1+((1-phimax_pore)/phimax_pore^2)*($A92/100))*($A92/100))</f>
        <v>1.15810450772009</v>
      </c>
      <c r="F92" s="9" t="n">
        <f aca="false">F$5*(1+A_pore*F$6*($A92/100))/(1-F$6*(1+((1-phimax_pore)/phimax_pore^2)*($A92/100))*($A92/100))</f>
        <v>1.15879916163847</v>
      </c>
      <c r="G92" s="9" t="n">
        <f aca="false">G$5*(1+A_pore*G$6*($A92/100))/(1-G$6*(1+((1-phimax_pore)/phimax_pore^2)*($A92/100))*($A92/100))</f>
        <v>1.15950612766366</v>
      </c>
      <c r="H92" s="9" t="n">
        <f aca="false">H$5*(1+A_pore*H$6*($A92/100))/(1-H$6*(1+((1-phimax_pore)/phimax_pore^2)*($A92/100))*($A92/100))</f>
        <v>1.16022578146393</v>
      </c>
      <c r="I92" s="9" t="n">
        <f aca="false">I$5*(1+A_pore*I$6*($A92/100))/(1-I$6*(1+((1-phimax_pore)/phimax_pore^2)*($A92/100))*($A92/100))</f>
        <v>1.16095851557994</v>
      </c>
      <c r="J92" s="9" t="n">
        <f aca="false">J$5*(1+A_pore*J$6*($A92/100))/(1-J$6*(1+((1-phimax_pore)/phimax_pore^2)*($A92/100))*($A92/100))</f>
        <v>1.16170474043303</v>
      </c>
      <c r="K92" s="9" t="n">
        <f aca="false">K$5*(1+A_pore*K$6*($A92/100))/(1-K$6*(1+((1-phimax_pore)/phimax_pore^2)*($A92/100))*($A92/100))</f>
        <v>1.16246488540867</v>
      </c>
      <c r="L92" s="9" t="n">
        <f aca="false">L$5*(1+A_pore*L$6*($A92/100))/(1-L$6*(1+((1-phimax_pore)/phimax_pore^2)*($A92/100))*($A92/100))</f>
        <v>1.16323940002183</v>
      </c>
      <c r="M92" s="9" t="n">
        <f aca="false">M$5*(1+A_pore*M$6*($A92/100))/(1-M$6*(1+((1-phimax_pore)/phimax_pore^2)*($A92/100))*($A92/100))</f>
        <v>1.16402875517144</v>
      </c>
      <c r="N92" s="9" t="n">
        <f aca="false">N$5*(1+A_pore*N$6*($A92/100))/(1-N$6*(1+((1-phimax_pore)/phimax_pore^2)*($A92/100))*($A92/100))</f>
        <v>1.16483344449252</v>
      </c>
      <c r="O92" s="9" t="n">
        <f aca="false">O$5*(1+A_pore*O$6*($A92/100))/(1-O$6*(1+((1-phimax_pore)/phimax_pore^2)*($A92/100))*($A92/100))</f>
        <v>1.16565398581456</v>
      </c>
      <c r="P92" s="9" t="n">
        <f aca="false">P$5*(1+A_pore*P$6*($A92/100))/(1-P$6*(1+((1-phimax_pore)/phimax_pore^2)*($A92/100))*($A92/100))</f>
        <v>1.16649092273661</v>
      </c>
      <c r="Q92" s="9" t="n">
        <f aca="false">Q$5*(1+A_pore*Q$6*($A92/100))/(1-Q$6*(1+((1-phimax_pore)/phimax_pore^2)*($A92/100))*($A92/100))</f>
        <v>1.1673448263299</v>
      </c>
      <c r="R92" s="9" t="n">
        <f aca="false">R$5*(1+A_pore*R$6*($A92/100))/(1-R$6*(1+((1-phimax_pore)/phimax_pore^2)*($A92/100))*($A92/100))</f>
        <v>1.16821629698053</v>
      </c>
      <c r="S92" s="9" t="n">
        <f aca="false">S$5*(1+A_pore*S$6*($A92/100))/(1-S$6*(1+((1-phimax_pore)/phimax_pore^2)*($A92/100))*($A92/100))</f>
        <v>1.16910596638598</v>
      </c>
      <c r="T92" s="9" t="n">
        <f aca="false">T$5*(1+A_pore*T$6*($A92/100))/(1-T$6*(1+((1-phimax_pore)/phimax_pore^2)*($A92/100))*($A92/100))</f>
        <v>1.17001449972068</v>
      </c>
      <c r="U92" s="9" t="n">
        <f aca="false">U$5*(1+A_pore*U$6*($A92/100))/(1-U$6*(1+((1-phimax_pore)/phimax_pore^2)*($A92/100))*($A92/100))</f>
        <v>1.17094259798793</v>
      </c>
      <c r="V92" s="9" t="n">
        <f aca="false">V$5*(1+A_pore*V$6*($A92/100))/(1-V$6*(1+((1-phimax_pore)/phimax_pore^2)*($A92/100))*($A92/100))</f>
        <v>1.17189100057721</v>
      </c>
      <c r="W92" s="9" t="n">
        <f aca="false">W$5*(1+A_pore*W$6*($A92/100))/(1-W$6*(1+((1-phimax_pore)/phimax_pore^2)*($A92/100))*($A92/100))</f>
        <v>1.17286048804832</v>
      </c>
      <c r="X92" s="9" t="n">
        <f aca="false">X$5*(1+A_pore*X$6*($A92/100))/(1-X$6*(1+((1-phimax_pore)/phimax_pore^2)*($A92/100))*($A92/100))</f>
        <v>1.17385188516649</v>
      </c>
      <c r="Y92" s="9" t="n">
        <f aca="false">Y$5*(1+A_pore*Y$6*($A92/100))/(1-Y$6*(1+((1-phimax_pore)/phimax_pore^2)*($A92/100))*($A92/100))</f>
        <v>1.17486606421539</v>
      </c>
      <c r="Z92" s="9" t="n">
        <f aca="false">Z$5*(1+A_pore*Z$6*($A92/100))/(1-Z$6*(1+((1-phimax_pore)/phimax_pore^2)*($A92/100))*($A92/100))</f>
        <v>1.17590394861848</v>
      </c>
      <c r="AA92" s="9" t="n">
        <f aca="false">AA$5*(1+A_pore*AA$6*($A92/100))/(1-AA$6*(1+((1-phimax_pore)/phimax_pore^2)*($A92/100))*($A92/100))</f>
        <v>1.17696651690307</v>
      </c>
      <c r="AB92" s="9" t="n">
        <f aca="false">AB$5*(1+A_pore*AB$6*($A92/100))/(1-AB$6*(1+((1-phimax_pore)/phimax_pore^2)*($A92/100))*($A92/100))</f>
        <v>1.17805480704565</v>
      </c>
      <c r="AC92" s="9" t="n">
        <f aca="false">AC$5*(1+A_pore*AC$6*($A92/100))/(1-AC$6*(1+((1-phimax_pore)/phimax_pore^2)*($A92/100))*($A92/100))</f>
        <v>1.17916992124256</v>
      </c>
      <c r="AD92" s="9" t="n">
        <f aca="false">AD$5*(1+A_pore*AD$6*($A92/100))/(1-AD$6*(1+((1-phimax_pore)/phimax_pore^2)*($A92/100))*($A92/100))</f>
        <v>1.18031303115551</v>
      </c>
      <c r="AE92" s="9" t="n">
        <f aca="false">AE$5*(1+A_pore*AE$6*($A92/100))/(1-AE$6*(1+((1-phimax_pore)/phimax_pore^2)*($A92/100))*($A92/100))</f>
        <v>1.18148538368856</v>
      </c>
      <c r="AF92" s="9" t="n">
        <f aca="false">AF$5*(1+A_pore*AF$6*($A92/100))/(1-AF$6*(1+((1-phimax_pore)/phimax_pore^2)*($A92/100))*($A92/100))</f>
        <v>1.18268830736082</v>
      </c>
      <c r="AG92" s="9" t="n">
        <f aca="false">AG$5*(1+A_pore*AG$6*($A92/100))/(1-AG$6*(1+((1-phimax_pore)/phimax_pore^2)*($A92/100))*($A92/100))</f>
        <v>1.18392321934841</v>
      </c>
      <c r="AH92" s="9" t="n">
        <f aca="false">AH$5*(1+A_pore*AH$6*($A92/100))/(1-AH$6*(1+((1-phimax_pore)/phimax_pore^2)*($A92/100))*($A92/100))</f>
        <v>1.1851916332794</v>
      </c>
      <c r="AI92" s="9" t="n">
        <f aca="false">AI$5*(1+A_pore*AI$6*($A92/100))/(1-AI$6*(1+((1-phimax_pore)/phimax_pore^2)*($A92/100))*($A92/100))</f>
        <v>1.18649516787818</v>
      </c>
      <c r="AJ92" s="9" t="n">
        <f aca="false">AJ$5*(1+A_pore*AJ$6*($A92/100))/(1-AJ$6*(1+((1-phimax_pore)/phimax_pore^2)*($A92/100))*($A92/100))</f>
        <v>1.18783555656987</v>
      </c>
      <c r="AK92" s="9" t="n">
        <f aca="false">AK$5*(1+A_pore*AK$6*($A92/100))/(1-AK$6*(1+((1-phimax_pore)/phimax_pore^2)*($A92/100))*($A92/100))</f>
        <v>1.18921465817191</v>
      </c>
    </row>
    <row r="93" customFormat="false" ht="15" hidden="false" customHeight="false" outlineLevel="0" collapsed="false">
      <c r="A93" s="4" t="n">
        <v>84</v>
      </c>
      <c r="B93" s="9" t="n">
        <f aca="false">B$5*(1+A_pore*B$6*($A93/100))/(1-B$6*(1+((1-phimax_pore)/phimax_pore^2)*($A93/100))*($A93/100))</f>
        <v>1.14538025413331</v>
      </c>
      <c r="C93" s="9" t="n">
        <f aca="false">C$5*(1+A_pore*C$6*($A93/100))/(1-C$6*(1+((1-phimax_pore)/phimax_pore^2)*($A93/100))*($A93/100))</f>
        <v>1.14599234682153</v>
      </c>
      <c r="D93" s="9" t="n">
        <f aca="false">D$5*(1+A_pore*D$6*($A93/100))/(1-D$6*(1+((1-phimax_pore)/phimax_pore^2)*($A93/100))*($A93/100))</f>
        <v>1.14661490066023</v>
      </c>
      <c r="E93" s="9" t="n">
        <f aca="false">E$5*(1+A_pore*E$6*($A93/100))/(1-E$6*(1+((1-phimax_pore)/phimax_pore^2)*($A93/100))*($A93/100))</f>
        <v>1.14724822241166</v>
      </c>
      <c r="F93" s="9" t="n">
        <f aca="false">F$5*(1+A_pore*F$6*($A93/100))/(1-F$6*(1+((1-phimax_pore)/phimax_pore^2)*($A93/100))*($A93/100))</f>
        <v>1.14789263207018</v>
      </c>
      <c r="G93" s="9" t="n">
        <f aca="false">G$5*(1+A_pore*G$6*($A93/100))/(1-G$6*(1+((1-phimax_pore)/phimax_pore^2)*($A93/100))*($A93/100))</f>
        <v>1.14854846362204</v>
      </c>
      <c r="H93" s="9" t="n">
        <f aca="false">H$5*(1+A_pore*H$6*($A93/100))/(1-H$6*(1+((1-phimax_pore)/phimax_pore^2)*($A93/100))*($A93/100))</f>
        <v>1.14921606585972</v>
      </c>
      <c r="I93" s="9" t="n">
        <f aca="false">I$5*(1+A_pore*I$6*($A93/100))/(1-I$6*(1+((1-phimax_pore)/phimax_pore^2)*($A93/100))*($A93/100))</f>
        <v>1.14989580325532</v>
      </c>
      <c r="J93" s="9" t="n">
        <f aca="false">J$5*(1+A_pore*J$6*($A93/100))/(1-J$6*(1+((1-phimax_pore)/phimax_pore^2)*($A93/100))*($A93/100))</f>
        <v>1.1505880568982</v>
      </c>
      <c r="K93" s="9" t="n">
        <f aca="false">K$5*(1+A_pore*K$6*($A93/100))/(1-K$6*(1+((1-phimax_pore)/phimax_pore^2)*($A93/100))*($A93/100))</f>
        <v>1.15129322550264</v>
      </c>
      <c r="L93" s="9" t="n">
        <f aca="false">L$5*(1+A_pore*L$6*($A93/100))/(1-L$6*(1+((1-phimax_pore)/phimax_pore^2)*($A93/100))*($A93/100))</f>
        <v>1.1520117264915</v>
      </c>
      <c r="M93" s="9" t="n">
        <f aca="false">M$5*(1+A_pore*M$6*($A93/100))/(1-M$6*(1+((1-phimax_pore)/phimax_pore^2)*($A93/100))*($A93/100))</f>
        <v>1.15274399716306</v>
      </c>
      <c r="N93" s="9" t="n">
        <f aca="false">N$5*(1+A_pore*N$6*($A93/100))/(1-N$6*(1+((1-phimax_pore)/phimax_pore^2)*($A93/100))*($A93/100))</f>
        <v>1.15349049594844</v>
      </c>
      <c r="O93" s="9" t="n">
        <f aca="false">O$5*(1+A_pore*O$6*($A93/100))/(1-O$6*(1+((1-phimax_pore)/phimax_pore^2)*($A93/100))*($A93/100))</f>
        <v>1.15425170376811</v>
      </c>
      <c r="P93" s="9" t="n">
        <f aca="false">P$5*(1+A_pore*P$6*($A93/100))/(1-P$6*(1+((1-phimax_pore)/phimax_pore^2)*($A93/100))*($A93/100))</f>
        <v>1.15502812549682</v>
      </c>
      <c r="Q93" s="9" t="n">
        <f aca="false">Q$5*(1+A_pore*Q$6*($A93/100))/(1-Q$6*(1+((1-phimax_pore)/phimax_pore^2)*($A93/100))*($A93/100))</f>
        <v>1.15582029154731</v>
      </c>
      <c r="R93" s="9" t="n">
        <f aca="false">R$5*(1+A_pore*R$6*($A93/100))/(1-R$6*(1+((1-phimax_pore)/phimax_pore^2)*($A93/100))*($A93/100))</f>
        <v>1.1566287595843</v>
      </c>
      <c r="S93" s="9" t="n">
        <f aca="false">S$5*(1+A_pore*S$6*($A93/100))/(1-S$6*(1+((1-phimax_pore)/phimax_pore^2)*($A93/100))*($A93/100))</f>
        <v>1.15745411638159</v>
      </c>
      <c r="T93" s="9" t="n">
        <f aca="false">T$5*(1+A_pore*T$6*($A93/100))/(1-T$6*(1+((1-phimax_pore)/phimax_pore^2)*($A93/100))*($A93/100))</f>
        <v>1.15829697983656</v>
      </c>
      <c r="U93" s="9" t="n">
        <f aca="false">U$5*(1+A_pore*U$6*($A93/100))/(1-U$6*(1+((1-phimax_pore)/phimax_pore^2)*($A93/100))*($A93/100))</f>
        <v>1.15915800115791</v>
      </c>
      <c r="V93" s="9" t="n">
        <f aca="false">V$5*(1+A_pore*V$6*($A93/100))/(1-V$6*(1+((1-phimax_pore)/phimax_pore^2)*($A93/100))*($A93/100))</f>
        <v>1.16003786724471</v>
      </c>
      <c r="W93" s="9" t="n">
        <f aca="false">W$5*(1+A_pore*W$6*($A93/100))/(1-W$6*(1+((1-phimax_pore)/phimax_pore^2)*($A93/100))*($A93/100))</f>
        <v>1.1609373032764</v>
      </c>
      <c r="X93" s="9" t="n">
        <f aca="false">X$5*(1+A_pore*X$6*($A93/100))/(1-X$6*(1+((1-phimax_pore)/phimax_pore^2)*($A93/100))*($A93/100))</f>
        <v>1.16185707553637</v>
      </c>
      <c r="Y93" s="9" t="n">
        <f aca="false">Y$5*(1+A_pore*Y$6*($A93/100))/(1-Y$6*(1+((1-phimax_pore)/phimax_pore^2)*($A93/100))*($A93/100))</f>
        <v>1.16279799449415</v>
      </c>
      <c r="Z93" s="9" t="n">
        <f aca="false">Z$5*(1+A_pore*Z$6*($A93/100))/(1-Z$6*(1+((1-phimax_pore)/phimax_pore^2)*($A93/100))*($A93/100))</f>
        <v>1.16376091817458</v>
      </c>
      <c r="AA93" s="9" t="n">
        <f aca="false">AA$5*(1+A_pore*AA$6*($A93/100))/(1-AA$6*(1+((1-phimax_pore)/phimax_pore^2)*($A93/100))*($A93/100))</f>
        <v>1.1647467558458</v>
      </c>
      <c r="AB93" s="9" t="n">
        <f aca="false">AB$5*(1+A_pore*AB$6*($A93/100))/(1-AB$6*(1+((1-phimax_pore)/phimax_pore^2)*($A93/100))*($A93/100))</f>
        <v>1.1657564720622</v>
      </c>
      <c r="AC93" s="9" t="n">
        <f aca="false">AC$5*(1+A_pore*AC$6*($A93/100))/(1-AC$6*(1+((1-phimax_pore)/phimax_pore^2)*($A93/100))*($A93/100))</f>
        <v>1.16679109110308</v>
      </c>
      <c r="AD93" s="9" t="n">
        <f aca="false">AD$5*(1+A_pore*AD$6*($A93/100))/(1-AD$6*(1+((1-phimax_pore)/phimax_pore^2)*($A93/100))*($A93/100))</f>
        <v>1.16785170185331</v>
      </c>
      <c r="AE93" s="9" t="n">
        <f aca="false">AE$5*(1+A_pore*AE$6*($A93/100))/(1-AE$6*(1+((1-phimax_pore)/phimax_pore^2)*($A93/100))*($A93/100))</f>
        <v>1.16893946317855</v>
      </c>
      <c r="AF93" s="9" t="n">
        <f aca="false">AF$5*(1+A_pore*AF$6*($A93/100))/(1-AF$6*(1+((1-phimax_pore)/phimax_pore^2)*($A93/100))*($A93/100))</f>
        <v>1.17005560985493</v>
      </c>
      <c r="AG93" s="9" t="n">
        <f aca="false">AG$5*(1+A_pore*AG$6*($A93/100))/(1-AG$6*(1+((1-phimax_pore)/phimax_pore^2)*($A93/100))*($A93/100))</f>
        <v>1.17120145912152</v>
      </c>
      <c r="AH93" s="9" t="n">
        <f aca="false">AH$5*(1+A_pore*AH$6*($A93/100))/(1-AH$6*(1+((1-phimax_pore)/phimax_pore^2)*($A93/100))*($A93/100))</f>
        <v>1.17237841793369</v>
      </c>
      <c r="AI93" s="9" t="n">
        <f aca="false">AI$5*(1+A_pore*AI$6*($A93/100))/(1-AI$6*(1+((1-phimax_pore)/phimax_pore^2)*($A93/100))*($A93/100))</f>
        <v>1.17358799100701</v>
      </c>
      <c r="AJ93" s="9" t="n">
        <f aca="false">AJ$5*(1+A_pore*AJ$6*($A93/100))/(1-AJ$6*(1+((1-phimax_pore)/phimax_pore^2)*($A93/100))*($A93/100))</f>
        <v>1.17483178975454</v>
      </c>
      <c r="AK93" s="9" t="n">
        <f aca="false">AK$5*(1+A_pore*AK$6*($A93/100))/(1-AK$6*(1+((1-phimax_pore)/phimax_pore^2)*($A93/100))*($A93/100))</f>
        <v>1.17611154223621</v>
      </c>
    </row>
    <row r="94" customFormat="false" ht="15" hidden="false" customHeight="false" outlineLevel="0" collapsed="false">
      <c r="A94" s="4" t="n">
        <v>85</v>
      </c>
      <c r="B94" s="9" t="n">
        <f aca="false">B$5*(1+A_pore*B$6*($A94/100))/(1-B$6*(1+((1-phimax_pore)/phimax_pore^2)*($A94/100))*($A94/100))</f>
        <v>1.13482701860309</v>
      </c>
      <c r="C94" s="9" t="n">
        <f aca="false">C$5*(1+A_pore*C$6*($A94/100))/(1-C$6*(1+((1-phimax_pore)/phimax_pore^2)*($A94/100))*($A94/100))</f>
        <v>1.13539253186152</v>
      </c>
      <c r="D94" s="9" t="n">
        <f aca="false">D$5*(1+A_pore*D$6*($A94/100))/(1-D$6*(1+((1-phimax_pore)/phimax_pore^2)*($A94/100))*($A94/100))</f>
        <v>1.13596771104996</v>
      </c>
      <c r="E94" s="9" t="n">
        <f aca="false">E$5*(1+A_pore*E$6*($A94/100))/(1-E$6*(1+((1-phimax_pore)/phimax_pore^2)*($A94/100))*($A94/100))</f>
        <v>1.13655283985664</v>
      </c>
      <c r="F94" s="9" t="n">
        <f aca="false">F$5*(1+A_pore*F$6*($A94/100))/(1-F$6*(1+((1-phimax_pore)/phimax_pore^2)*($A94/100))*($A94/100))</f>
        <v>1.13714821421831</v>
      </c>
      <c r="G94" s="9" t="n">
        <f aca="false">G$5*(1+A_pore*G$6*($A94/100))/(1-G$6*(1+((1-phimax_pore)/phimax_pore^2)*($A94/100))*($A94/100))</f>
        <v>1.13775414302406</v>
      </c>
      <c r="H94" s="9" t="n">
        <f aca="false">H$5*(1+A_pore*H$6*($A94/100))/(1-H$6*(1+((1-phimax_pore)/phimax_pore^2)*($A94/100))*($A94/100))</f>
        <v>1.1383709488697</v>
      </c>
      <c r="I94" s="9" t="n">
        <f aca="false">I$5*(1+A_pore*I$6*($A94/100))/(1-I$6*(1+((1-phimax_pore)/phimax_pore^2)*($A94/100))*($A94/100))</f>
        <v>1.13899896886685</v>
      </c>
      <c r="J94" s="9" t="n">
        <f aca="false">J$5*(1+A_pore*J$6*($A94/100))/(1-J$6*(1+((1-phimax_pore)/phimax_pore^2)*($A94/100))*($A94/100))</f>
        <v>1.13963855551165</v>
      </c>
      <c r="K94" s="9" t="n">
        <f aca="false">K$5*(1+A_pore*K$6*($A94/100))/(1-K$6*(1+((1-phimax_pore)/phimax_pore^2)*($A94/100))*($A94/100))</f>
        <v>1.14029007761822</v>
      </c>
      <c r="L94" s="9" t="n">
        <f aca="false">L$5*(1+A_pore*L$6*($A94/100))/(1-L$6*(1+((1-phimax_pore)/phimax_pore^2)*($A94/100))*($A94/100))</f>
        <v>1.14095392132272</v>
      </c>
      <c r="M94" s="9" t="n">
        <f aca="false">M$5*(1+A_pore*M$6*($A94/100))/(1-M$6*(1+((1-phimax_pore)/phimax_pore^2)*($A94/100))*($A94/100))</f>
        <v>1.14163049116442</v>
      </c>
      <c r="N94" s="9" t="n">
        <f aca="false">N$5*(1+A_pore*N$6*($A94/100))/(1-N$6*(1+((1-phimax_pore)/phimax_pore^2)*($A94/100))*($A94/100))</f>
        <v>1.14232021125071</v>
      </c>
      <c r="O94" s="9" t="n">
        <f aca="false">O$5*(1+A_pore*O$6*($A94/100))/(1-O$6*(1+((1-phimax_pore)/phimax_pore^2)*($A94/100))*($A94/100))</f>
        <v>1.14302352651404</v>
      </c>
      <c r="P94" s="9" t="n">
        <f aca="false">P$5*(1+A_pore*P$6*($A94/100))/(1-P$6*(1+((1-phimax_pore)/phimax_pore^2)*($A94/100))*($A94/100))</f>
        <v>1.14374090406929</v>
      </c>
      <c r="Q94" s="9" t="n">
        <f aca="false">Q$5*(1+A_pore*Q$6*($A94/100))/(1-Q$6*(1+((1-phimax_pore)/phimax_pore^2)*($A94/100))*($A94/100))</f>
        <v>1.14447283468125</v>
      </c>
      <c r="R94" s="9" t="n">
        <f aca="false">R$5*(1+A_pore*R$6*($A94/100))/(1-R$6*(1+((1-phimax_pore)/phimax_pore^2)*($A94/100))*($A94/100))</f>
        <v>1.14521983435289</v>
      </c>
      <c r="S94" s="9" t="n">
        <f aca="false">S$5*(1+A_pore*S$6*($A94/100))/(1-S$6*(1+((1-phimax_pore)/phimax_pore^2)*($A94/100))*($A94/100))</f>
        <v>1.14598244604623</v>
      </c>
      <c r="T94" s="9" t="n">
        <f aca="false">T$5*(1+A_pore*T$6*($A94/100))/(1-T$6*(1+((1-phimax_pore)/phimax_pore^2)*($A94/100))*($A94/100))</f>
        <v>1.14676124154921</v>
      </c>
      <c r="U94" s="9" t="n">
        <f aca="false">U$5*(1+A_pore*U$6*($A94/100))/(1-U$6*(1+((1-phimax_pore)/phimax_pore^2)*($A94/100))*($A94/100))</f>
        <v>1.14755682350308</v>
      </c>
      <c r="V94" s="9" t="n">
        <f aca="false">V$5*(1+A_pore*V$6*($A94/100))/(1-V$6*(1+((1-phimax_pore)/phimax_pore^2)*($A94/100))*($A94/100))</f>
        <v>1.14836982760716</v>
      </c>
      <c r="W94" s="9" t="n">
        <f aca="false">W$5*(1+A_pore*W$6*($A94/100))/(1-W$6*(1+((1-phimax_pore)/phimax_pore^2)*($A94/100))*($A94/100))</f>
        <v>1.14920092501914</v>
      </c>
      <c r="X94" s="9" t="n">
        <f aca="false">X$5*(1+A_pore*X$6*($A94/100))/(1-X$6*(1+((1-phimax_pore)/phimax_pore^2)*($A94/100))*($A94/100))</f>
        <v>1.15005082497198</v>
      </c>
      <c r="Y94" s="9" t="n">
        <f aca="false">Y$5*(1+A_pore*Y$6*($A94/100))/(1-Y$6*(1+((1-phimax_pore)/phimax_pore^2)*($A94/100))*($A94/100))</f>
        <v>1.15092027763047</v>
      </c>
      <c r="Z94" s="9" t="n">
        <f aca="false">Z$5*(1+A_pore*Z$6*($A94/100))/(1-Z$6*(1+((1-phimax_pore)/phimax_pore^2)*($A94/100))*($A94/100))</f>
        <v>1.15181007721391</v>
      </c>
      <c r="AA94" s="9" t="n">
        <f aca="false">AA$5*(1+A_pore*AA$6*($A94/100))/(1-AA$6*(1+((1-phimax_pore)/phimax_pore^2)*($A94/100))*($A94/100))</f>
        <v>1.15272106541432</v>
      </c>
      <c r="AB94" s="9" t="n">
        <f aca="false">AB$5*(1+A_pore*AB$6*($A94/100))/(1-AB$6*(1+((1-phimax_pore)/phimax_pore^2)*($A94/100))*($A94/100))</f>
        <v>1.15365413514378</v>
      </c>
      <c r="AC94" s="9" t="n">
        <f aca="false">AC$5*(1+A_pore*AC$6*($A94/100))/(1-AC$6*(1+((1-phimax_pore)/phimax_pore^2)*($A94/100))*($A94/100))</f>
        <v>1.15461023464856</v>
      </c>
      <c r="AD94" s="9" t="n">
        <f aca="false">AD$5*(1+A_pore*AD$6*($A94/100))/(1-AD$6*(1+((1-phimax_pore)/phimax_pore^2)*($A94/100))*($A94/100))</f>
        <v>1.15559037203314</v>
      </c>
      <c r="AE94" s="9" t="n">
        <f aca="false">AE$5*(1+A_pore*AE$6*($A94/100))/(1-AE$6*(1+((1-phimax_pore)/phimax_pore^2)*($A94/100))*($A94/100))</f>
        <v>1.15659562024267</v>
      </c>
      <c r="AF94" s="9" t="n">
        <f aca="false">AF$5*(1+A_pore*AF$6*($A94/100))/(1-AF$6*(1+((1-phimax_pore)/phimax_pore^2)*($A94/100))*($A94/100))</f>
        <v>1.15762712255953</v>
      </c>
      <c r="AG94" s="9" t="n">
        <f aca="false">AG$5*(1+A_pore*AG$6*($A94/100))/(1-AG$6*(1+((1-phimax_pore)/phimax_pore^2)*($A94/100))*($A94/100))</f>
        <v>1.15868609867732</v>
      </c>
      <c r="AH94" s="9" t="n">
        <f aca="false">AH$5*(1+A_pore*AH$6*($A94/100))/(1-AH$6*(1+((1-phimax_pore)/phimax_pore^2)*($A94/100))*($A94/100))</f>
        <v>1.15977385142468</v>
      </c>
      <c r="AI94" s="9" t="n">
        <f aca="false">AI$5*(1+A_pore*AI$6*($A94/100))/(1-AI$6*(1+((1-phimax_pore)/phimax_pore^2)*($A94/100))*($A94/100))</f>
        <v>1.16089177422205</v>
      </c>
      <c r="AJ94" s="9" t="n">
        <f aca="false">AJ$5*(1+A_pore*AJ$6*($A94/100))/(1-AJ$6*(1+((1-phimax_pore)/phimax_pore^2)*($A94/100))*($A94/100))</f>
        <v>1.16204135936686</v>
      </c>
      <c r="AK94" s="9" t="n">
        <f aca="false">AK$5*(1+A_pore*AK$6*($A94/100))/(1-AK$6*(1+((1-phimax_pore)/phimax_pore^2)*($A94/100))*($A94/100))</f>
        <v>1.16322420725704</v>
      </c>
    </row>
    <row r="95" customFormat="false" ht="15" hidden="false" customHeight="false" outlineLevel="0" collapsed="false">
      <c r="A95" s="4" t="n">
        <v>86</v>
      </c>
      <c r="B95" s="9" t="n">
        <f aca="false">B$5*(1+A_pore*B$6*($A95/100))/(1-B$6*(1+((1-phimax_pore)/phimax_pore^2)*($A95/100))*($A95/100))</f>
        <v>1.12442775394477</v>
      </c>
      <c r="C95" s="9" t="n">
        <f aca="false">C$5*(1+A_pore*C$6*($A95/100))/(1-C$6*(1+((1-phimax_pore)/phimax_pore^2)*($A95/100))*($A95/100))</f>
        <v>1.12494779766049</v>
      </c>
      <c r="D95" s="9" t="n">
        <f aca="false">D$5*(1+A_pore*D$6*($A95/100))/(1-D$6*(1+((1-phimax_pore)/phimax_pore^2)*($A95/100))*($A95/100))</f>
        <v>1.12547673226862</v>
      </c>
      <c r="E95" s="9" t="n">
        <f aca="false">E$5*(1+A_pore*E$6*($A95/100))/(1-E$6*(1+((1-phimax_pore)/phimax_pore^2)*($A95/100))*($A95/100))</f>
        <v>1.1260148189633</v>
      </c>
      <c r="F95" s="9" t="n">
        <f aca="false">F$5*(1+A_pore*F$6*($A95/100))/(1-F$6*(1+((1-phimax_pore)/phimax_pore^2)*($A95/100))*($A95/100))</f>
        <v>1.12656233022738</v>
      </c>
      <c r="G95" s="9" t="n">
        <f aca="false">G$5*(1+A_pore*G$6*($A95/100))/(1-G$6*(1+((1-phimax_pore)/phimax_pore^2)*($A95/100))*($A95/100))</f>
        <v>1.12711955048158</v>
      </c>
      <c r="H95" s="9" t="n">
        <f aca="false">H$5*(1+A_pore*H$6*($A95/100))/(1-H$6*(1+((1-phimax_pore)/phimax_pore^2)*($A95/100))*($A95/100))</f>
        <v>1.12768677678027</v>
      </c>
      <c r="I95" s="9" t="n">
        <f aca="false">I$5*(1+A_pore*I$6*($A95/100))/(1-I$6*(1+((1-phimax_pore)/phimax_pore^2)*($A95/100))*($A95/100))</f>
        <v>1.1282643195578</v>
      </c>
      <c r="J95" s="9" t="n">
        <f aca="false">J$5*(1+A_pore*J$6*($A95/100))/(1-J$6*(1+((1-phimax_pore)/phimax_pore^2)*($A95/100))*($A95/100))</f>
        <v>1.12885250342975</v>
      </c>
      <c r="K95" s="9" t="n">
        <f aca="false">K$5*(1+A_pore*K$6*($A95/100))/(1-K$6*(1+((1-phimax_pore)/phimax_pore^2)*($A95/100))*($A95/100))</f>
        <v>1.12945166805405</v>
      </c>
      <c r="L95" s="9" t="n">
        <f aca="false">L$5*(1+A_pore*L$6*($A95/100))/(1-L$6*(1+((1-phimax_pore)/phimax_pore^2)*($A95/100))*($A95/100))</f>
        <v>1.13006216905719</v>
      </c>
      <c r="M95" s="9" t="n">
        <f aca="false">M$5*(1+A_pore*M$6*($A95/100))/(1-M$6*(1+((1-phimax_pore)/phimax_pore^2)*($A95/100))*($A95/100))</f>
        <v>1.13068437903147</v>
      </c>
      <c r="N95" s="9" t="n">
        <f aca="false">N$5*(1+A_pore*N$6*($A95/100))/(1-N$6*(1+((1-phimax_pore)/phimax_pore^2)*($A95/100))*($A95/100))</f>
        <v>1.13131868860977</v>
      </c>
      <c r="O95" s="9" t="n">
        <f aca="false">O$5*(1+A_pore*O$6*($A95/100))/(1-O$6*(1+((1-phimax_pore)/phimax_pore^2)*($A95/100))*($A95/100))</f>
        <v>1.13196550762516</v>
      </c>
      <c r="P95" s="9" t="n">
        <f aca="false">P$5*(1+A_pore*P$6*($A95/100))/(1-P$6*(1+((1-phimax_pore)/phimax_pore^2)*($A95/100))*($A95/100))</f>
        <v>1.13262526636315</v>
      </c>
      <c r="Q95" s="9" t="n">
        <f aca="false">Q$5*(1+A_pore*Q$6*($A95/100))/(1-Q$6*(1+((1-phimax_pore)/phimax_pore^2)*($A95/100))*($A95/100))</f>
        <v>1.1332984169156</v>
      </c>
      <c r="R95" s="9" t="n">
        <f aca="false">R$5*(1+A_pore*R$6*($A95/100))/(1-R$6*(1+((1-phimax_pore)/phimax_pore^2)*($A95/100))*($A95/100))</f>
        <v>1.1339854346461</v>
      </c>
      <c r="S95" s="9" t="n">
        <f aca="false">S$5*(1+A_pore*S$6*($A95/100))/(1-S$6*(1+((1-phimax_pore)/phimax_pore^2)*($A95/100))*($A95/100))</f>
        <v>1.1346868197778</v>
      </c>
      <c r="T95" s="9" t="n">
        <f aca="false">T$5*(1+A_pore*T$6*($A95/100))/(1-T$6*(1+((1-phimax_pore)/phimax_pore^2)*($A95/100))*($A95/100))</f>
        <v>1.13540309911582</v>
      </c>
      <c r="U95" s="9" t="n">
        <f aca="false">U$5*(1+A_pore*U$6*($A95/100))/(1-U$6*(1+((1-phimax_pore)/phimax_pore^2)*($A95/100))*($A95/100))</f>
        <v>1.13613482791805</v>
      </c>
      <c r="V95" s="9" t="n">
        <f aca="false">V$5*(1+A_pore*V$6*($A95/100))/(1-V$6*(1+((1-phimax_pore)/phimax_pore^2)*($A95/100))*($A95/100))</f>
        <v>1.13688259192946</v>
      </c>
      <c r="W95" s="9" t="n">
        <f aca="false">W$5*(1+A_pore*W$6*($A95/100))/(1-W$6*(1+((1-phimax_pore)/phimax_pore^2)*($A95/100))*($A95/100))</f>
        <v>1.13764700959706</v>
      </c>
      <c r="X95" s="9" t="n">
        <f aca="false">X$5*(1+A_pore*X$6*($A95/100))/(1-X$6*(1+((1-phimax_pore)/phimax_pore^2)*($A95/100))*($A95/100))</f>
        <v>1.13842873448464</v>
      </c>
      <c r="Y95" s="9" t="n">
        <f aca="false">Y$5*(1+A_pore*Y$6*($A95/100))/(1-Y$6*(1+((1-phimax_pore)/phimax_pore^2)*($A95/100))*($A95/100))</f>
        <v>1.13922845790885</v>
      </c>
      <c r="Z95" s="9" t="n">
        <f aca="false">Z$5*(1+A_pore*Z$6*($A95/100))/(1-Z$6*(1+((1-phimax_pore)/phimax_pore^2)*($A95/100))*($A95/100))</f>
        <v>1.14004691182086</v>
      </c>
      <c r="AA95" s="9" t="n">
        <f aca="false">AA$5*(1+A_pore*AA$6*($A95/100))/(1-AA$6*(1+((1-phimax_pore)/phimax_pore^2)*($A95/100))*($A95/100))</f>
        <v>1.14088487196083</v>
      </c>
      <c r="AB95" s="9" t="n">
        <f aca="false">AB$5*(1+A_pore*AB$6*($A95/100))/(1-AB$6*(1+((1-phimax_pore)/phimax_pore^2)*($A95/100))*($A95/100))</f>
        <v>1.14174316131622</v>
      </c>
      <c r="AC95" s="9" t="n">
        <f aca="false">AC$5*(1+A_pore*AC$6*($A95/100))/(1-AC$6*(1+((1-phimax_pore)/phimax_pore^2)*($A95/100))*($A95/100))</f>
        <v>1.14262265391866</v>
      </c>
      <c r="AD95" s="9" t="n">
        <f aca="false">AD$5*(1+A_pore*AD$6*($A95/100))/(1-AD$6*(1+((1-phimax_pore)/phimax_pore^2)*($A95/100))*($A95/100))</f>
        <v>1.14352427901915</v>
      </c>
      <c r="AE95" s="9" t="n">
        <f aca="false">AE$5*(1+A_pore*AE$6*($A95/100))/(1-AE$6*(1+((1-phimax_pore)/phimax_pore^2)*($A95/100))*($A95/100))</f>
        <v>1.14444902568657</v>
      </c>
      <c r="AF95" s="9" t="n">
        <f aca="false">AF$5*(1+A_pore*AF$6*($A95/100))/(1-AF$6*(1+((1-phimax_pore)/phimax_pore^2)*($A95/100))*($A95/100))</f>
        <v>1.14539794788069</v>
      </c>
      <c r="AG95" s="9" t="n">
        <f aca="false">AG$5*(1+A_pore*AG$6*($A95/100))/(1-AG$6*(1+((1-phimax_pore)/phimax_pore^2)*($A95/100))*($A95/100))</f>
        <v>1.14637217005821</v>
      </c>
      <c r="AH95" s="9" t="n">
        <f aca="false">AH$5*(1+A_pore*AH$6*($A95/100))/(1-AH$6*(1+((1-phimax_pore)/phimax_pore^2)*($A95/100))*($A95/100))</f>
        <v>1.14737289337879</v>
      </c>
      <c r="AI95" s="9" t="n">
        <f aca="false">AI$5*(1+A_pore*AI$6*($A95/100))/(1-AI$6*(1+((1-phimax_pore)/phimax_pore^2)*($A95/100))*($A95/100))</f>
        <v>1.14840140258762</v>
      </c>
      <c r="AJ95" s="9" t="n">
        <f aca="false">AJ$5*(1+A_pore*AJ$6*($A95/100))/(1-AJ$6*(1+((1-phimax_pore)/phimax_pore^2)*($A95/100))*($A95/100))</f>
        <v>1.14945907366281</v>
      </c>
      <c r="AK95" s="9" t="n">
        <f aca="false">AK$5*(1+A_pore*AK$6*($A95/100))/(1-AK$6*(1+((1-phimax_pore)/phimax_pore^2)*($A95/100))*($A95/100))</f>
        <v>1.15054738232901</v>
      </c>
    </row>
    <row r="96" customFormat="false" ht="15" hidden="false" customHeight="false" outlineLevel="0" collapsed="false">
      <c r="A96" s="4" t="n">
        <v>87</v>
      </c>
      <c r="B96" s="9" t="n">
        <f aca="false">B$5*(1+A_pore*B$6*($A96/100))/(1-B$6*(1+((1-phimax_pore)/phimax_pore^2)*($A96/100))*($A96/100))</f>
        <v>1.1141791242018</v>
      </c>
      <c r="C96" s="9" t="n">
        <f aca="false">C$5*(1+A_pore*C$6*($A96/100))/(1-C$6*(1+((1-phimax_pore)/phimax_pore^2)*($A96/100))*($A96/100))</f>
        <v>1.11465477494659</v>
      </c>
      <c r="D96" s="9" t="n">
        <f aca="false">D$5*(1+A_pore*D$6*($A96/100))/(1-D$6*(1+((1-phimax_pore)/phimax_pore^2)*($A96/100))*($A96/100))</f>
        <v>1.1151385610552</v>
      </c>
      <c r="E96" s="9" t="n">
        <f aca="false">E$5*(1+A_pore*E$6*($A96/100))/(1-E$6*(1+((1-phimax_pore)/phimax_pore^2)*($A96/100))*($A96/100))</f>
        <v>1.11563072178744</v>
      </c>
      <c r="F96" s="9" t="n">
        <f aca="false">F$5*(1+A_pore*F$6*($A96/100))/(1-F$6*(1+((1-phimax_pore)/phimax_pore^2)*($A96/100))*($A96/100))</f>
        <v>1.11613150675489</v>
      </c>
      <c r="G96" s="9" t="n">
        <f aca="false">G$5*(1+A_pore*G$6*($A96/100))/(1-G$6*(1+((1-phimax_pore)/phimax_pore^2)*($A96/100))*($A96/100))</f>
        <v>1.11664117651677</v>
      </c>
      <c r="H96" s="9" t="n">
        <f aca="false">H$5*(1+A_pore*H$6*($A96/100))/(1-H$6*(1+((1-phimax_pore)/phimax_pore^2)*($A96/100))*($A96/100))</f>
        <v>1.11716000321838</v>
      </c>
      <c r="I96" s="9" t="n">
        <f aca="false">I$5*(1+A_pore*I$6*($A96/100))/(1-I$6*(1+((1-phimax_pore)/phimax_pore^2)*($A96/100))*($A96/100))</f>
        <v>1.11768827127615</v>
      </c>
      <c r="J96" s="9" t="n">
        <f aca="false">J$5*(1+A_pore*J$6*($A96/100))/(1-J$6*(1+((1-phimax_pore)/phimax_pore^2)*($A96/100))*($A96/100))</f>
        <v>1.11822627811299</v>
      </c>
      <c r="K96" s="9" t="n">
        <f aca="false">K$5*(1+A_pore*K$6*($A96/100))/(1-K$6*(1+((1-phimax_pore)/phimax_pore^2)*($A96/100))*($A96/100))</f>
        <v>1.11877433494866</v>
      </c>
      <c r="L96" s="9" t="n">
        <f aca="false">L$5*(1+A_pore*L$6*($A96/100))/(1-L$6*(1+((1-phimax_pore)/phimax_pore^2)*($A96/100))*($A96/100))</f>
        <v>1.11933276764989</v>
      </c>
      <c r="M96" s="9" t="n">
        <f aca="false">M$5*(1+A_pore*M$6*($A96/100))/(1-M$6*(1+((1-phimax_pore)/phimax_pore^2)*($A96/100))*($A96/100))</f>
        <v>1.11990191764576</v>
      </c>
      <c r="N96" s="9" t="n">
        <f aca="false">N$5*(1+A_pore*N$6*($A96/100))/(1-N$6*(1+((1-phimax_pore)/phimax_pore^2)*($A96/100))*($A96/100))</f>
        <v>1.12048214291431</v>
      </c>
      <c r="O96" s="9" t="n">
        <f aca="false">O$5*(1+A_pore*O$6*($A96/100))/(1-O$6*(1+((1-phimax_pore)/phimax_pore^2)*($A96/100))*($A96/100))</f>
        <v>1.12107381904685</v>
      </c>
      <c r="P96" s="9" t="n">
        <f aca="false">P$5*(1+A_pore*P$6*($A96/100))/(1-P$6*(1+((1-phimax_pore)/phimax_pore^2)*($A96/100))*($A96/100))</f>
        <v>1.12167734039764</v>
      </c>
      <c r="Q96" s="9" t="n">
        <f aca="false">Q$5*(1+A_pore*Q$6*($A96/100))/(1-Q$6*(1+((1-phimax_pore)/phimax_pore^2)*($A96/100))*($A96/100))</f>
        <v>1.12229312132671</v>
      </c>
      <c r="R96" s="9" t="n">
        <f aca="false">R$5*(1+A_pore*R$6*($A96/100))/(1-R$6*(1+((1-phimax_pore)/phimax_pore^2)*($A96/100))*($A96/100))</f>
        <v>1.1229215975451</v>
      </c>
      <c r="S96" s="9" t="n">
        <f aca="false">S$5*(1+A_pore*S$6*($A96/100))/(1-S$6*(1+((1-phimax_pore)/phimax_pore^2)*($A96/100))*($A96/100))</f>
        <v>1.12356322757262</v>
      </c>
      <c r="T96" s="9" t="n">
        <f aca="false">T$5*(1+A_pore*T$6*($A96/100))/(1-T$6*(1+((1-phimax_pore)/phimax_pore^2)*($A96/100))*($A96/100))</f>
        <v>1.12421849431909</v>
      </c>
      <c r="U96" s="9" t="n">
        <f aca="false">U$5*(1+A_pore*U$6*($A96/100))/(1-U$6*(1+((1-phimax_pore)/phimax_pore^2)*($A96/100))*($A96/100))</f>
        <v>1.12488790680198</v>
      </c>
      <c r="V96" s="9" t="n">
        <f aca="false">V$5*(1+A_pore*V$6*($A96/100))/(1-V$6*(1+((1-phimax_pore)/phimax_pore^2)*($A96/100))*($A96/100))</f>
        <v>1.12557200201411</v>
      </c>
      <c r="W96" s="9" t="n">
        <f aca="false">W$5*(1+A_pore*W$6*($A96/100))/(1-W$6*(1+((1-phimax_pore)/phimax_pore^2)*($A96/100))*($A96/100))</f>
        <v>1.12627134695734</v>
      </c>
      <c r="X96" s="9" t="n">
        <f aca="false">X$5*(1+A_pore*X$6*($A96/100))/(1-X$6*(1+((1-phimax_pore)/phimax_pore^2)*($A96/100))*($A96/100))</f>
        <v>1.12698654085971</v>
      </c>
      <c r="Y96" s="9" t="n">
        <f aca="false">Y$5*(1+A_pore*Y$6*($A96/100))/(1-Y$6*(1+((1-phimax_pore)/phimax_pore^2)*($A96/100))*($A96/100))</f>
        <v>1.12771821759589</v>
      </c>
      <c r="Z96" s="9" t="n">
        <f aca="false">Z$5*(1+A_pore*Z$6*($A96/100))/(1-Z$6*(1+((1-phimax_pore)/phimax_pore^2)*($A96/100))*($A96/100))</f>
        <v>1.12846704833312</v>
      </c>
      <c r="AA96" s="9" t="n">
        <f aca="false">AA$5*(1+A_pore*AA$6*($A96/100))/(1-AA$6*(1+((1-phimax_pore)/phimax_pore^2)*($A96/100))*($A96/100))</f>
        <v>1.12923374442783</v>
      </c>
      <c r="AB96" s="9" t="n">
        <f aca="false">AB$5*(1+A_pore*AB$6*($A96/100))/(1-AB$6*(1+((1-phimax_pore)/phimax_pore^2)*($A96/100))*($A96/100))</f>
        <v>1.13001906060124</v>
      </c>
      <c r="AC96" s="9" t="n">
        <f aca="false">AC$5*(1+A_pore*AC$6*($A96/100))/(1-AC$6*(1+((1-phimax_pore)/phimax_pore^2)*($A96/100))*($A96/100))</f>
        <v>1.13082379842592</v>
      </c>
      <c r="AD96" s="9" t="n">
        <f aca="false">AD$5*(1+A_pore*AD$6*($A96/100))/(1-AD$6*(1+((1-phimax_pore)/phimax_pore^2)*($A96/100))*($A96/100))</f>
        <v>1.13164881015999</v>
      </c>
      <c r="AE96" s="9" t="n">
        <f aca="false">AE$5*(1+A_pore*AE$6*($A96/100))/(1-AE$6*(1+((1-phimax_pore)/phimax_pore^2)*($A96/100))*($A96/100))</f>
        <v>1.1324950029699</v>
      </c>
      <c r="AF96" s="9" t="n">
        <f aca="false">AF$5*(1+A_pore*AF$6*($A96/100))/(1-AF$6*(1+((1-phimax_pore)/phimax_pore^2)*($A96/100))*($A96/100))</f>
        <v>1.13336334358929</v>
      </c>
      <c r="AG96" s="9" t="n">
        <f aca="false">AG$5*(1+A_pore*AG$6*($A96/100))/(1-AG$6*(1+((1-phimax_pore)/phimax_pore^2)*($A96/100))*($A96/100))</f>
        <v>1.13425486346733</v>
      </c>
      <c r="AH96" s="9" t="n">
        <f aca="false">AH$5*(1+A_pore*AH$6*($A96/100))/(1-AH$6*(1+((1-phimax_pore)/phimax_pore^2)*($A96/100))*($A96/100))</f>
        <v>1.13517066446815</v>
      </c>
      <c r="AI96" s="9" t="n">
        <f aca="false">AI$5*(1+A_pore*AI$6*($A96/100))/(1-AI$6*(1+((1-phimax_pore)/phimax_pore^2)*($A96/100))*($A96/100))</f>
        <v>1.13611192519187</v>
      </c>
      <c r="AJ96" s="9" t="n">
        <f aca="false">AJ$5*(1+A_pore*AJ$6*($A96/100))/(1-AJ$6*(1+((1-phimax_pore)/phimax_pore^2)*($A96/100))*($A96/100))</f>
        <v>1.13707990799798</v>
      </c>
      <c r="AK96" s="9" t="n">
        <f aca="false">AK$5*(1+A_pore*AK$6*($A96/100))/(1-AK$6*(1+((1-phimax_pore)/phimax_pore^2)*($A96/100))*($A96/100))</f>
        <v>1.13807596682458</v>
      </c>
    </row>
    <row r="97" customFormat="false" ht="15" hidden="false" customHeight="false" outlineLevel="0" collapsed="false">
      <c r="A97" s="4" t="n">
        <v>88</v>
      </c>
      <c r="B97" s="9" t="n">
        <f aca="false">B$5*(1+A_pore*B$6*($A97/100))/(1-B$6*(1+((1-phimax_pore)/phimax_pore^2)*($A97/100))*($A97/100))</f>
        <v>1.10407788909271</v>
      </c>
      <c r="C97" s="9" t="n">
        <f aca="false">C$5*(1+A_pore*C$6*($A97/100))/(1-C$6*(1+((1-phimax_pore)/phimax_pore^2)*($A97/100))*($A97/100))</f>
        <v>1.10451019134317</v>
      </c>
      <c r="D97" s="9" t="n">
        <f aca="false">D$5*(1+A_pore*D$6*($A97/100))/(1-D$6*(1+((1-phimax_pore)/phimax_pore^2)*($A97/100))*($A97/100))</f>
        <v>1.10494989229162</v>
      </c>
      <c r="E97" s="9" t="n">
        <f aca="false">E$5*(1+A_pore*E$6*($A97/100))/(1-E$6*(1+((1-phimax_pore)/phimax_pore^2)*($A97/100))*($A97/100))</f>
        <v>1.10539720980388</v>
      </c>
      <c r="F97" s="9" t="n">
        <f aca="false">F$5*(1+A_pore*F$6*($A97/100))/(1-F$6*(1+((1-phimax_pore)/phimax_pore^2)*($A97/100))*($A97/100))</f>
        <v>1.10585237118283</v>
      </c>
      <c r="G97" s="9" t="n">
        <f aca="false">G$5*(1+A_pore*G$6*($A97/100))/(1-G$6*(1+((1-phimax_pore)/phimax_pore^2)*($A97/100))*($A97/100))</f>
        <v>1.10631561371205</v>
      </c>
      <c r="H97" s="9" t="n">
        <f aca="false">H$5*(1+A_pore*H$6*($A97/100))/(1-H$6*(1+((1-phimax_pore)/phimax_pore^2)*($A97/100))*($A97/100))</f>
        <v>1.10678718523833</v>
      </c>
      <c r="I97" s="9" t="n">
        <f aca="false">I$5*(1+A_pore*I$6*($A97/100))/(1-I$6*(1+((1-phimax_pore)/phimax_pore^2)*($A97/100))*($A97/100))</f>
        <v>1.10726734479674</v>
      </c>
      <c r="J97" s="9" t="n">
        <f aca="false">J$5*(1+A_pore*J$6*($A97/100))/(1-J$6*(1+((1-phimax_pore)/phimax_pore^2)*($A97/100))*($A97/100))</f>
        <v>1.10775636328162</v>
      </c>
      <c r="K97" s="9" t="n">
        <f aca="false">K$5*(1+A_pore*K$6*($A97/100))/(1-K$6*(1+((1-phimax_pore)/phimax_pore^2)*($A97/100))*($A97/100))</f>
        <v>1.10825452416776</v>
      </c>
      <c r="L97" s="9" t="n">
        <f aca="false">L$5*(1+A_pore*L$6*($A97/100))/(1-L$6*(1+((1-phimax_pore)/phimax_pore^2)*($A97/100))*($A97/100))</f>
        <v>1.1087621242862</v>
      </c>
      <c r="M97" s="9" t="n">
        <f aca="false">M$5*(1+A_pore*M$6*($A97/100))/(1-M$6*(1+((1-phimax_pore)/phimax_pore^2)*($A97/100))*($A97/100))</f>
        <v>1.10927947465951</v>
      </c>
      <c r="N97" s="9" t="n">
        <f aca="false">N$5*(1+A_pore*N$6*($A97/100))/(1-N$6*(1+((1-phimax_pore)/phimax_pore^2)*($A97/100))*($A97/100))</f>
        <v>1.10980690140215</v>
      </c>
      <c r="O97" s="9" t="n">
        <f aca="false">O$5*(1+A_pore*O$6*($A97/100))/(1-O$6*(1+((1-phimax_pore)/phimax_pore^2)*($A97/100))*($A97/100))</f>
        <v>1.11034474669183</v>
      </c>
      <c r="P97" s="9" t="n">
        <f aca="false">P$5*(1+A_pore*P$6*($A97/100))/(1-P$6*(1+((1-phimax_pore)/phimax_pore^2)*($A97/100))*($A97/100))</f>
        <v>1.11089336981865</v>
      </c>
      <c r="Q97" s="9" t="n">
        <f aca="false">Q$5*(1+A_pore*Q$6*($A97/100))/(1-Q$6*(1+((1-phimax_pore)/phimax_pore^2)*($A97/100))*($A97/100))</f>
        <v>1.11145314831946</v>
      </c>
      <c r="R97" s="9" t="n">
        <f aca="false">R$5*(1+A_pore*R$6*($A97/100))/(1-R$6*(1+((1-phimax_pore)/phimax_pore^2)*($A97/100))*($A97/100))</f>
        <v>1.11202447920559</v>
      </c>
      <c r="S97" s="9" t="n">
        <f aca="false">S$5*(1+A_pore*S$6*($A97/100))/(1-S$6*(1+((1-phimax_pore)/phimax_pore^2)*($A97/100))*($A97/100))</f>
        <v>1.11260778029336</v>
      </c>
      <c r="T97" s="9" t="n">
        <f aca="false">T$5*(1+A_pore*T$6*($A97/100))/(1-T$6*(1+((1-phimax_pore)/phimax_pore^2)*($A97/100))*($A97/100))</f>
        <v>1.1132034916474</v>
      </c>
      <c r="U97" s="9" t="n">
        <f aca="false">U$5*(1+A_pore*U$6*($A97/100))/(1-U$6*(1+((1-phimax_pore)/phimax_pore^2)*($A97/100))*($A97/100))</f>
        <v>1.11381207714836</v>
      </c>
      <c r="V97" s="9" t="n">
        <f aca="false">V$5*(1+A_pore*V$6*($A97/100))/(1-V$6*(1+((1-phimax_pore)/phimax_pore^2)*($A97/100))*($A97/100))</f>
        <v>1.11443402619779</v>
      </c>
      <c r="W97" s="9" t="n">
        <f aca="false">W$5*(1+A_pore*W$6*($A97/100))/(1-W$6*(1+((1-phimax_pore)/phimax_pore^2)*($A97/100))*($A97/100))</f>
        <v>1.11506985557449</v>
      </c>
      <c r="X97" s="9" t="n">
        <f aca="false">X$5*(1+A_pore*X$6*($A97/100))/(1-X$6*(1+((1-phimax_pore)/phimax_pore^2)*($A97/100))*($A97/100))</f>
        <v>1.11572011145841</v>
      </c>
      <c r="Y97" s="9" t="n">
        <f aca="false">Y$5*(1+A_pore*Y$6*($A97/100))/(1-Y$6*(1+((1-phimax_pore)/phimax_pore^2)*($A97/100))*($A97/100))</f>
        <v>1.11638537164014</v>
      </c>
      <c r="Z97" s="9" t="n">
        <f aca="false">Z$5*(1+A_pore*Z$6*($A97/100))/(1-Z$6*(1+((1-phimax_pore)/phimax_pore^2)*($A97/100))*($A97/100))</f>
        <v>1.11706624793638</v>
      </c>
      <c r="AA97" s="9" t="n">
        <f aca="false">AA$5*(1+A_pore*AA$6*($A97/100))/(1-AA$6*(1+((1-phimax_pore)/phimax_pore^2)*($A97/100))*($A97/100))</f>
        <v>1.11776338883429</v>
      </c>
      <c r="AB97" s="9" t="n">
        <f aca="false">AB$5*(1+A_pore*AB$6*($A97/100))/(1-AB$6*(1+((1-phimax_pore)/phimax_pore^2)*($A97/100))*($A97/100))</f>
        <v>1.11847748239049</v>
      </c>
      <c r="AC97" s="9" t="n">
        <f aca="false">AC$5*(1+A_pore*AC$6*($A97/100))/(1-AC$6*(1+((1-phimax_pore)/phimax_pore^2)*($A97/100))*($A97/100))</f>
        <v>1.11920925941422</v>
      </c>
      <c r="AD97" s="9" t="n">
        <f aca="false">AD$5*(1+A_pore*AD$6*($A97/100))/(1-AD$6*(1+((1-phimax_pore)/phimax_pore^2)*($A97/100))*($A97/100))</f>
        <v>1.11995949696773</v>
      </c>
      <c r="AE97" s="9" t="n">
        <f aca="false">AE$5*(1+A_pore*AE$6*($A97/100))/(1-AE$6*(1+((1-phimax_pore)/phimax_pore^2)*($A97/100))*($A97/100))</f>
        <v>1.12072902222171</v>
      </c>
      <c r="AF97" s="9" t="n">
        <f aca="false">AF$5*(1+A_pore*AF$6*($A97/100))/(1-AF$6*(1+((1-phimax_pore)/phimax_pore^2)*($A97/100))*($A97/100))</f>
        <v>1.12151871670882</v>
      </c>
      <c r="AG97" s="9" t="n">
        <f aca="false">AG$5*(1+A_pore*AG$6*($A97/100))/(1-AG$6*(1+((1-phimax_pore)/phimax_pore^2)*($A97/100))*($A97/100))</f>
        <v>1.12232952102423</v>
      </c>
      <c r="AH97" s="9" t="n">
        <f aca="false">AH$5*(1+A_pore*AH$6*($A97/100))/(1-AH$6*(1+((1-phimax_pore)/phimax_pore^2)*($A97/100))*($A97/100))</f>
        <v>1.12316244002956</v>
      </c>
      <c r="AI97" s="9" t="n">
        <f aca="false">AI$5*(1+A_pore*AI$6*($A97/100))/(1-AI$6*(1+((1-phimax_pore)/phimax_pore^2)*($A97/100))*($A97/100))</f>
        <v>1.12401854862424</v>
      </c>
      <c r="AJ97" s="9" t="n">
        <f aca="false">AJ$5*(1+A_pore*AJ$6*($A97/100))/(1-AJ$6*(1+((1-phimax_pore)/phimax_pore^2)*($A97/100))*($A97/100))</f>
        <v>1.12489899815851</v>
      </c>
      <c r="AK97" s="9" t="n">
        <f aca="false">AK$5*(1+A_pore*AK$6*($A97/100))/(1-AK$6*(1+((1-phimax_pore)/phimax_pore^2)*($A97/100))*($A97/100))</f>
        <v>1.1258050235731</v>
      </c>
    </row>
    <row r="98" customFormat="false" ht="15" hidden="false" customHeight="false" outlineLevel="0" collapsed="false">
      <c r="A98" s="4" t="n">
        <v>89</v>
      </c>
      <c r="B98" s="9" t="n">
        <f aca="false">B$5*(1+A_pore*B$6*($A98/100))/(1-B$6*(1+((1-phimax_pore)/phimax_pore^2)*($A98/100))*($A98/100))</f>
        <v>1.09412090060558</v>
      </c>
      <c r="C98" s="9" t="n">
        <f aca="false">C$5*(1+A_pore*C$6*($A98/100))/(1-C$6*(1+((1-phimax_pore)/phimax_pore^2)*($A98/100))*($A98/100))</f>
        <v>1.09451086791047</v>
      </c>
      <c r="D98" s="9" t="n">
        <f aca="false">D$5*(1+A_pore*D$6*($A98/100))/(1-D$6*(1+((1-phimax_pore)/phimax_pore^2)*($A98/100))*($A98/100))</f>
        <v>1.0949075154902</v>
      </c>
      <c r="E98" s="9" t="n">
        <f aca="false">E$5*(1+A_pore*E$6*($A98/100))/(1-E$6*(1+((1-phimax_pore)/phimax_pore^2)*($A98/100))*($A98/100))</f>
        <v>1.09531104033848</v>
      </c>
      <c r="F98" s="9" t="n">
        <f aca="false">F$5*(1+A_pore*F$6*($A98/100))/(1-F$6*(1+((1-phimax_pore)/phimax_pore^2)*($A98/100))*($A98/100))</f>
        <v>1.09572164799278</v>
      </c>
      <c r="G98" s="9" t="n">
        <f aca="false">G$5*(1+A_pore*G$6*($A98/100))/(1-G$6*(1+((1-phimax_pore)/phimax_pore^2)*($A98/100))*($A98/100))</f>
        <v>1.09613955302684</v>
      </c>
      <c r="H98" s="9" t="n">
        <f aca="false">H$5*(1+A_pore*H$6*($A98/100))/(1-H$6*(1+((1-phimax_pore)/phimax_pore^2)*($A98/100))*($A98/100))</f>
        <v>1.0965649795786</v>
      </c>
      <c r="I98" s="9" t="n">
        <f aca="false">I$5*(1+A_pore*I$6*($A98/100))/(1-I$6*(1+((1-phimax_pore)/phimax_pore^2)*($A98/100))*($A98/100))</f>
        <v>1.09699816191653</v>
      </c>
      <c r="J98" s="9" t="n">
        <f aca="false">J$5*(1+A_pore*J$6*($A98/100))/(1-J$6*(1+((1-phimax_pore)/phimax_pore^2)*($A98/100))*($A98/100))</f>
        <v>1.09743934504779</v>
      </c>
      <c r="K98" s="9" t="n">
        <f aca="false">K$5*(1+A_pore*K$6*($A98/100))/(1-K$6*(1+((1-phimax_pore)/phimax_pore^2)*($A98/100))*($A98/100))</f>
        <v>1.09788878537169</v>
      </c>
      <c r="L98" s="9" t="n">
        <f aca="false">L$5*(1+A_pore*L$6*($A98/100))/(1-L$6*(1+((1-phimax_pore)/phimax_pore^2)*($A98/100))*($A98/100))</f>
        <v>1.09834675138282</v>
      </c>
      <c r="M98" s="9" t="n">
        <f aca="false">M$5*(1+A_pore*M$6*($A98/100))/(1-M$6*(1+((1-phimax_pore)/phimax_pore^2)*($A98/100))*($A98/100))</f>
        <v>1.09881352442807</v>
      </c>
      <c r="N98" s="9" t="n">
        <f aca="false">N$5*(1+A_pore*N$6*($A98/100))/(1-N$6*(1+((1-phimax_pore)/phimax_pore^2)*($A98/100))*($A98/100))</f>
        <v>1.0992893995226</v>
      </c>
      <c r="O98" s="9" t="n">
        <f aca="false">O$5*(1+A_pore*O$6*($A98/100))/(1-O$6*(1+((1-phimax_pore)/phimax_pore^2)*($A98/100))*($A98/100))</f>
        <v>1.09977468623029</v>
      </c>
      <c r="P98" s="9" t="n">
        <f aca="false">P$5*(1+A_pore*P$6*($A98/100))/(1-P$6*(1+((1-phimax_pore)/phimax_pore^2)*($A98/100))*($A98/100))</f>
        <v>1.1002697096146</v>
      </c>
      <c r="Q98" s="9" t="n">
        <f aca="false">Q$5*(1+A_pore*Q$6*($A98/100))/(1-Q$6*(1+((1-phimax_pore)/phimax_pore^2)*($A98/100))*($A98/100))</f>
        <v>1.1007748112668</v>
      </c>
      <c r="R98" s="9" t="n">
        <f aca="false">R$5*(1+A_pore*R$6*($A98/100))/(1-R$6*(1+((1-phimax_pore)/phimax_pore^2)*($A98/100))*($A98/100))</f>
        <v>1.10129035041882</v>
      </c>
      <c r="S98" s="9" t="n">
        <f aca="false">S$5*(1+A_pore*S$6*($A98/100))/(1-S$6*(1+((1-phimax_pore)/phimax_pore^2)*($A98/100))*($A98/100))</f>
        <v>1.10181670514927</v>
      </c>
      <c r="T98" s="9" t="n">
        <f aca="false">T$5*(1+A_pore*T$6*($A98/100))/(1-T$6*(1+((1-phimax_pore)/phimax_pore^2)*($A98/100))*($A98/100))</f>
        <v>1.10235427369185</v>
      </c>
      <c r="U98" s="9" t="n">
        <f aca="false">U$5*(1+A_pore*U$6*($A98/100))/(1-U$6*(1+((1-phimax_pore)/phimax_pore^2)*($A98/100))*($A98/100))</f>
        <v>1.10290347585644</v>
      </c>
      <c r="V98" s="9" t="n">
        <f aca="false">V$5*(1+A_pore*V$6*($A98/100))/(1-V$6*(1+((1-phimax_pore)/phimax_pore^2)*($A98/100))*($A98/100))</f>
        <v>1.10346475457468</v>
      </c>
      <c r="W98" s="9" t="n">
        <f aca="false">W$5*(1+A_pore*W$6*($A98/100))/(1-W$6*(1+((1-phimax_pore)/phimax_pore^2)*($A98/100))*($A98/100))</f>
        <v>1.10403857758282</v>
      </c>
      <c r="X98" s="9" t="n">
        <f aca="false">X$5*(1+A_pore*X$6*($A98/100))/(1-X$6*(1+((1-phimax_pore)/phimax_pore^2)*($A98/100))*($A98/100))</f>
        <v>1.1046254392566</v>
      </c>
      <c r="Y98" s="9" t="n">
        <f aca="false">Y$5*(1+A_pore*Y$6*($A98/100))/(1-Y$6*(1+((1-phimax_pore)/phimax_pore^2)*($A98/100))*($A98/100))</f>
        <v>1.10522586261437</v>
      </c>
      <c r="Z98" s="9" t="n">
        <f aca="false">Z$5*(1+A_pore*Z$6*($A98/100))/(1-Z$6*(1+((1-phimax_pore)/phimax_pore^2)*($A98/100))*($A98/100))</f>
        <v>1.10584040150707</v>
      </c>
      <c r="AA98" s="9" t="n">
        <f aca="false">AA$5*(1+A_pore*AA$6*($A98/100))/(1-AA$6*(1+((1-phimax_pore)/phimax_pore^2)*($A98/100))*($A98/100))</f>
        <v>1.10646964301566</v>
      </c>
      <c r="AB98" s="9" t="n">
        <f aca="false">AB$5*(1+A_pore*AB$6*($A98/100))/(1-AB$6*(1+((1-phimax_pore)/phimax_pore^2)*($A98/100))*($A98/100))</f>
        <v>1.10711421007968</v>
      </c>
      <c r="AC98" s="9" t="n">
        <f aca="false">AC$5*(1+A_pore*AC$6*($A98/100))/(1-AC$6*(1+((1-phimax_pore)/phimax_pore^2)*($A98/100))*($A98/100))</f>
        <v>1.10777476438335</v>
      </c>
      <c r="AD98" s="9" t="n">
        <f aca="false">AD$5*(1+A_pore*AD$6*($A98/100))/(1-AD$6*(1+((1-phimax_pore)/phimax_pore^2)*($A98/100))*($A98/100))</f>
        <v>1.10845200952946</v>
      </c>
      <c r="AE98" s="9" t="n">
        <f aca="false">AE$5*(1+A_pore*AE$6*($A98/100))/(1-AE$6*(1+((1-phimax_pore)/phimax_pore^2)*($A98/100))*($A98/100))</f>
        <v>1.10914669453526</v>
      </c>
      <c r="AF98" s="9" t="n">
        <f aca="false">AF$5*(1+A_pore*AF$6*($A98/100))/(1-AF$6*(1+((1-phimax_pore)/phimax_pore^2)*($A98/100))*($A98/100))</f>
        <v>1.10985961768935</v>
      </c>
      <c r="AG98" s="9" t="n">
        <f aca="false">AG$5*(1+A_pore*AG$6*($A98/100))/(1-AG$6*(1+((1-phimax_pore)/phimax_pore^2)*($A98/100))*($A98/100))</f>
        <v>1.1105916308141</v>
      </c>
      <c r="AH98" s="9" t="n">
        <f aca="false">AH$5*(1+A_pore*AH$6*($A98/100))/(1-AH$6*(1+((1-phimax_pore)/phimax_pore^2)*($A98/100))*($A98/100))</f>
        <v>1.11134364398449</v>
      </c>
      <c r="AI98" s="9" t="n">
        <f aca="false">AI$5*(1+A_pore*AI$6*($A98/100))/(1-AI$6*(1+((1-phimax_pore)/phimax_pore^2)*($A98/100))*($A98/100))</f>
        <v>1.11211663076174</v>
      </c>
      <c r="AJ98" s="9" t="n">
        <f aca="false">AJ$5*(1+A_pore*AJ$6*($A98/100))/(1-AJ$6*(1+((1-phimax_pore)/phimax_pore^2)*($A98/100))*($A98/100))</f>
        <v>1.11291163400883</v>
      </c>
      <c r="AK98" s="9" t="n">
        <f aca="false">AK$5*(1+A_pore*AK$6*($A98/100))/(1-AK$6*(1+((1-phimax_pore)/phimax_pore^2)*($A98/100))*($A98/100))</f>
        <v>1.11372977236507</v>
      </c>
    </row>
    <row r="99" customFormat="false" ht="15" hidden="false" customHeight="false" outlineLevel="0" collapsed="false">
      <c r="A99" s="4" t="n">
        <v>90</v>
      </c>
      <c r="B99" s="9" t="n">
        <f aca="false">B$5*(1+A_pore*B$6*($A99/100))/(1-B$6*(1+((1-phimax_pore)/phimax_pore^2)*($A99/100))*($A99/100))</f>
        <v>1.08430509973698</v>
      </c>
      <c r="C99" s="9" t="n">
        <f aca="false">C$5*(1+A_pore*C$6*($A99/100))/(1-C$6*(1+((1-phimax_pore)/phimax_pore^2)*($A99/100))*($A99/100))</f>
        <v>1.08465371583432</v>
      </c>
      <c r="D99" s="9" t="n">
        <f aca="false">D$5*(1+A_pore*D$6*($A99/100))/(1-D$6*(1+((1-phimax_pore)/phimax_pore^2)*($A99/100))*($A99/100))</f>
        <v>1.08500831143097</v>
      </c>
      <c r="E99" s="9" t="n">
        <f aca="false">E$5*(1+A_pore*E$6*($A99/100))/(1-E$6*(1+((1-phimax_pore)/phimax_pore^2)*($A99/100))*($A99/100))</f>
        <v>1.08536906315273</v>
      </c>
      <c r="F99" s="9" t="n">
        <f aca="false">F$5*(1+A_pore*F$6*($A99/100))/(1-F$6*(1+((1-phimax_pore)/phimax_pore^2)*($A99/100))*($A99/100))</f>
        <v>1.08573615529644</v>
      </c>
      <c r="G99" s="9" t="n">
        <f aca="false">G$5*(1+A_pore*G$6*($A99/100))/(1-G$6*(1+((1-phimax_pore)/phimax_pore^2)*($A99/100))*($A99/100))</f>
        <v>1.08610978027265</v>
      </c>
      <c r="H99" s="9" t="n">
        <f aca="false">H$5*(1+A_pore*H$6*($A99/100))/(1-H$6*(1+((1-phimax_pore)/phimax_pore^2)*($A99/100))*($A99/100))</f>
        <v>1.08649013908006</v>
      </c>
      <c r="I99" s="9" t="n">
        <f aca="false">I$5*(1+A_pore*I$6*($A99/100))/(1-I$6*(1+((1-phimax_pore)/phimax_pore^2)*($A99/100))*($A99/100))</f>
        <v>1.08687744181451</v>
      </c>
      <c r="J99" s="9" t="n">
        <f aca="false">J$5*(1+A_pore*J$6*($A99/100))/(1-J$6*(1+((1-phimax_pore)/phimax_pore^2)*($A99/100))*($A99/100))</f>
        <v>1.08727190821555</v>
      </c>
      <c r="K99" s="9" t="n">
        <f aca="false">K$5*(1+A_pore*K$6*($A99/100))/(1-K$6*(1+((1-phimax_pore)/phimax_pore^2)*($A99/100))*($A99/100))</f>
        <v>1.08767376825382</v>
      </c>
      <c r="L99" s="9" t="n">
        <f aca="false">L$5*(1+A_pore*L$6*($A99/100))/(1-L$6*(1+((1-phimax_pore)/phimax_pore^2)*($A99/100))*($A99/100))</f>
        <v>1.08808326276303</v>
      </c>
      <c r="M99" s="9" t="n">
        <f aca="false">M$5*(1+A_pore*M$6*($A99/100))/(1-M$6*(1+((1-phimax_pore)/phimax_pore^2)*($A99/100))*($A99/100))</f>
        <v>1.08850064412042</v>
      </c>
      <c r="N99" s="9" t="n">
        <f aca="false">N$5*(1+A_pore*N$6*($A99/100))/(1-N$6*(1+((1-phimax_pore)/phimax_pore^2)*($A99/100))*($A99/100))</f>
        <v>1.08892617698025</v>
      </c>
      <c r="O99" s="9" t="n">
        <f aca="false">O$5*(1+A_pore*O$6*($A99/100))/(1-O$6*(1+((1-phimax_pore)/phimax_pore^2)*($A99/100))*($A99/100))</f>
        <v>1.08936013906524</v>
      </c>
      <c r="P99" s="9" t="n">
        <f aca="false">P$5*(1+A_pore*P$6*($A99/100))/(1-P$6*(1+((1-phimax_pore)/phimax_pore^2)*($A99/100))*($A99/100))</f>
        <v>1.0898028220214</v>
      </c>
      <c r="Q99" s="9" t="n">
        <f aca="false">Q$5*(1+A_pore*Q$6*($A99/100))/(1-Q$6*(1+((1-phimax_pore)/phimax_pore^2)*($A99/100))*($A99/100))</f>
        <v>1.09025453234232</v>
      </c>
      <c r="R99" s="9" t="n">
        <f aca="false">R$5*(1+A_pore*R$6*($A99/100))/(1-R$6*(1+((1-phimax_pore)/phimax_pore^2)*($A99/100))*($A99/100))</f>
        <v>1.09071559236973</v>
      </c>
      <c r="S99" s="9" t="n">
        <f aca="false">S$5*(1+A_pore*S$6*($A99/100))/(1-S$6*(1+((1-phimax_pore)/phimax_pore^2)*($A99/100))*($A99/100))</f>
        <v>1.09118634137771</v>
      </c>
      <c r="T99" s="9" t="n">
        <f aca="false">T$5*(1+A_pore*T$6*($A99/100))/(1-T$6*(1+((1-phimax_pore)/phimax_pore^2)*($A99/100))*($A99/100))</f>
        <v>1.09166713674901</v>
      </c>
      <c r="U99" s="9" t="n">
        <f aca="false">U$5*(1+A_pore*U$6*($A99/100))/(1-U$6*(1+((1-phimax_pore)/phimax_pore^2)*($A99/100))*($A99/100))</f>
        <v>1.09215835525285</v>
      </c>
      <c r="V99" s="9" t="n">
        <f aca="false">V$5*(1+A_pore*V$6*($A99/100))/(1-V$6*(1+((1-phimax_pore)/phimax_pore^2)*($A99/100))*($A99/100))</f>
        <v>1.09266039443449</v>
      </c>
      <c r="W99" s="9" t="n">
        <f aca="false">W$5*(1+A_pore*W$6*($A99/100))/(1-W$6*(1+((1-phimax_pore)/phimax_pore^2)*($A99/100))*($A99/100))</f>
        <v>1.09317367412839</v>
      </c>
      <c r="X99" s="9" t="n">
        <f aca="false">X$5*(1+A_pore*X$6*($A99/100))/(1-X$6*(1+((1-phimax_pore)/phimax_pore^2)*($A99/100))*($A99/100))</f>
        <v>1.09369863810812</v>
      </c>
      <c r="Y99" s="9" t="n">
        <f aca="false">Y$5*(1+A_pore*Y$6*($A99/100))/(1-Y$6*(1+((1-phimax_pore)/phimax_pore^2)*($A99/100))*($A99/100))</f>
        <v>1.09423575588752</v>
      </c>
      <c r="Z99" s="9" t="n">
        <f aca="false">Z$5*(1+A_pore*Z$6*($A99/100))/(1-Z$6*(1+((1-phimax_pore)/phimax_pore^2)*($A99/100))*($A99/100))</f>
        <v>1.09478552468997</v>
      </c>
      <c r="AA99" s="9" t="n">
        <f aca="false">AA$5*(1+A_pore*AA$6*($A99/100))/(1-AA$6*(1+((1-phimax_pore)/phimax_pore^2)*($A99/100))*($A99/100))</f>
        <v>1.09534847160432</v>
      </c>
      <c r="AB99" s="9" t="n">
        <f aca="false">AB$5*(1+A_pore*AB$6*($A99/100))/(1-AB$6*(1+((1-phimax_pore)/phimax_pore^2)*($A99/100))*($A99/100))</f>
        <v>1.09592515594861</v>
      </c>
      <c r="AC99" s="9" t="n">
        <f aca="false">AC$5*(1+A_pore*AC$6*($A99/100))/(1-AC$6*(1+((1-phimax_pore)/phimax_pore^2)*($A99/100))*($A99/100))</f>
        <v>1.09651617186556</v>
      </c>
      <c r="AD99" s="9" t="n">
        <f aca="false">AD$5*(1+A_pore*AD$6*($A99/100))/(1-AD$6*(1+((1-phimax_pore)/phimax_pore^2)*($A99/100))*($A99/100))</f>
        <v>1.09712215117683</v>
      </c>
      <c r="AE99" s="9" t="n">
        <f aca="false">AE$5*(1+A_pore*AE$6*($A99/100))/(1-AE$6*(1+((1-phimax_pore)/phimax_pore^2)*($A99/100))*($A99/100))</f>
        <v>1.09774376652704</v>
      </c>
      <c r="AF99" s="9" t="n">
        <f aca="false">AF$5*(1+A_pore*AF$6*($A99/100))/(1-AF$6*(1+((1-phimax_pore)/phimax_pore^2)*($A99/100))*($A99/100))</f>
        <v>1.09838173485244</v>
      </c>
      <c r="AG99" s="9" t="n">
        <f aca="false">AG$5*(1+A_pore*AG$6*($A99/100))/(1-AG$6*(1+((1-phimax_pore)/phimax_pore^2)*($A99/100))*($A99/100))</f>
        <v>1.09903682121443</v>
      </c>
      <c r="AH99" s="9" t="n">
        <f aca="false">AH$5*(1+A_pore*AH$6*($A99/100))/(1-AH$6*(1+((1-phimax_pore)/phimax_pore^2)*($A99/100))*($A99/100))</f>
        <v>1.09970984304364</v>
      </c>
      <c r="AI99" s="9" t="n">
        <f aca="false">AI$5*(1+A_pore*AI$6*($A99/100))/(1-AI$6*(1+((1-phimax_pore)/phimax_pore^2)*($A99/100))*($A99/100))</f>
        <v>1.10040167484711</v>
      </c>
      <c r="AJ99" s="9" t="n">
        <f aca="false">AJ$5*(1+A_pore*AJ$6*($A99/100))/(1-AJ$6*(1+((1-phimax_pore)/phimax_pore^2)*($A99/100))*($A99/100))</f>
        <v>1.10111325343891</v>
      </c>
      <c r="AK99" s="9" t="n">
        <f aca="false">AK$5*(1+A_pore*AK$6*($A99/100))/(1-AK$6*(1+((1-phimax_pore)/phimax_pore^2)*($A99/100))*($A99/100))</f>
        <v>1.10184558376374</v>
      </c>
    </row>
    <row r="100" customFormat="false" ht="15" hidden="false" customHeight="false" outlineLevel="0" collapsed="false">
      <c r="A100" s="4" t="n">
        <v>91</v>
      </c>
      <c r="B100" s="9" t="n">
        <f aca="false">B$5*(1+A_pore*B$6*($A100/100))/(1-B$6*(1+((1-phimax_pore)/phimax_pore^2)*($A100/100))*($A100/100))</f>
        <v>1.07462751336821</v>
      </c>
      <c r="C100" s="9" t="n">
        <f aca="false">C$5*(1+A_pore*C$6*($A100/100))/(1-C$6*(1+((1-phimax_pore)/phimax_pore^2)*($A100/100))*($A100/100))</f>
        <v>1.07493573325474</v>
      </c>
      <c r="D100" s="9" t="n">
        <f aca="false">D$5*(1+A_pore*D$6*($A100/100))/(1-D$6*(1+((1-phimax_pore)/phimax_pore^2)*($A100/100))*($A100/100))</f>
        <v>1.07524924894142</v>
      </c>
      <c r="E100" s="9" t="n">
        <f aca="false">E$5*(1+A_pore*E$6*($A100/100))/(1-E$6*(1+((1-phimax_pore)/phimax_pore^2)*($A100/100))*($A100/100))</f>
        <v>1.07556821717332</v>
      </c>
      <c r="F100" s="9" t="n">
        <f aca="false">F$5*(1+A_pore*F$6*($A100/100))/(1-F$6*(1+((1-phimax_pore)/phimax_pore^2)*($A100/100))*($A100/100))</f>
        <v>1.07589280151385</v>
      </c>
      <c r="G100" s="9" t="n">
        <f aca="false">G$5*(1+A_pore*G$6*($A100/100))/(1-G$6*(1+((1-phimax_pore)/phimax_pore^2)*($A100/100))*($A100/100))</f>
        <v>1.07622317273862</v>
      </c>
      <c r="H100" s="9" t="n">
        <f aca="false">H$5*(1+A_pore*H$6*($A100/100))/(1-H$6*(1+((1-phimax_pore)/phimax_pore^2)*($A100/100))*($A100/100))</f>
        <v>1.07655950925755</v>
      </c>
      <c r="I100" s="9" t="n">
        <f aca="false">I$5*(1+A_pore*I$6*($A100/100))/(1-I$6*(1+((1-phimax_pore)/phimax_pore^2)*($A100/100))*($A100/100))</f>
        <v>1.07690199756779</v>
      </c>
      <c r="J100" s="9" t="n">
        <f aca="false">J$5*(1+A_pore*J$6*($A100/100))/(1-J$6*(1+((1-phimax_pore)/phimax_pore^2)*($A100/100))*($A100/100))</f>
        <v>1.07725083274009</v>
      </c>
      <c r="K100" s="9" t="n">
        <f aca="false">K$5*(1+A_pore*K$6*($A100/100))/(1-K$6*(1+((1-phimax_pore)/phimax_pore^2)*($A100/100))*($A100/100))</f>
        <v>1.07760621894148</v>
      </c>
      <c r="L100" s="9" t="n">
        <f aca="false">L$5*(1+A_pore*L$6*($A100/100))/(1-L$6*(1+((1-phimax_pore)/phimax_pore^2)*($A100/100))*($A100/100))</f>
        <v>1.07796836999764</v>
      </c>
      <c r="M100" s="9" t="n">
        <f aca="false">M$5*(1+A_pore*M$6*($A100/100))/(1-M$6*(1+((1-phimax_pore)/phimax_pore^2)*($A100/100))*($A100/100))</f>
        <v>1.07833750999851</v>
      </c>
      <c r="N100" s="9" t="n">
        <f aca="false">N$5*(1+A_pore*N$6*($A100/100))/(1-N$6*(1+((1-phimax_pore)/phimax_pore^2)*($A100/100))*($A100/100))</f>
        <v>1.07871387395106</v>
      </c>
      <c r="O100" s="9" t="n">
        <f aca="false">O$5*(1+A_pore*O$6*($A100/100))/(1-O$6*(1+((1-phimax_pore)/phimax_pore^2)*($A100/100))*($A100/100))</f>
        <v>1.07909770848362</v>
      </c>
      <c r="P100" s="9" t="n">
        <f aca="false">P$5*(1+A_pore*P$6*($A100/100))/(1-P$6*(1+((1-phimax_pore)/phimax_pore^2)*($A100/100))*($A100/100))</f>
        <v>1.07948927260676</v>
      </c>
      <c r="Q100" s="9" t="n">
        <f aca="false">Q$5*(1+A_pore*Q$6*($A100/100))/(1-Q$6*(1+((1-phimax_pore)/phimax_pore^2)*($A100/100))*($A100/100))</f>
        <v>1.07988883853595</v>
      </c>
      <c r="R100" s="9" t="n">
        <f aca="false">R$5*(1+A_pore*R$6*($A100/100))/(1-R$6*(1+((1-phimax_pore)/phimax_pore^2)*($A100/100))*($A100/100))</f>
        <v>1.08029669258209</v>
      </c>
      <c r="S100" s="9" t="n">
        <f aca="false">S$5*(1+A_pore*S$6*($A100/100))/(1-S$6*(1+((1-phimax_pore)/phimax_pore^2)*($A100/100))*($A100/100))</f>
        <v>1.08071313611664</v>
      </c>
      <c r="T100" s="9" t="n">
        <f aca="false">T$5*(1+A_pore*T$6*($A100/100))/(1-T$6*(1+((1-phimax_pore)/phimax_pore^2)*($A100/100))*($A100/100))</f>
        <v>1.0811384866187</v>
      </c>
      <c r="U100" s="9" t="n">
        <f aca="false">U$5*(1+A_pore*U$6*($A100/100))/(1-U$6*(1+((1-phimax_pore)/phimax_pore^2)*($A100/100))*($A100/100))</f>
        <v>1.08157307881244</v>
      </c>
      <c r="V100" s="9" t="n">
        <f aca="false">V$5*(1+A_pore*V$6*($A100/100))/(1-V$6*(1+((1-phimax_pore)/phimax_pore^2)*($A100/100))*($A100/100))</f>
        <v>1.08201726590411</v>
      </c>
      <c r="W100" s="9" t="n">
        <f aca="false">W$5*(1+A_pore*W$6*($A100/100))/(1-W$6*(1+((1-phimax_pore)/phimax_pore^2)*($A100/100))*($A100/100))</f>
        <v>1.08247142092913</v>
      </c>
      <c r="X100" s="9" t="n">
        <f aca="false">X$5*(1+A_pore*X$6*($A100/100))/(1-X$6*(1+((1-phimax_pore)/phimax_pore^2)*($A100/100))*($A100/100))</f>
        <v>1.08293593822082</v>
      </c>
      <c r="Y100" s="9" t="n">
        <f aca="false">Y$5*(1+A_pore*Y$6*($A100/100))/(1-Y$6*(1+((1-phimax_pore)/phimax_pore^2)*($A100/100))*($A100/100))</f>
        <v>1.08341123501403</v>
      </c>
      <c r="Z100" s="9" t="n">
        <f aca="false">Z$5*(1+A_pore*Z$6*($A100/100))/(1-Z$6*(1+((1-phimax_pore)/phimax_pore^2)*($A100/100))*($A100/100))</f>
        <v>1.08389775319835</v>
      </c>
      <c r="AA100" s="9" t="n">
        <f aca="false">AA$5*(1+A_pore*AA$6*($A100/100))/(1-AA$6*(1+((1-phimax_pore)/phimax_pore^2)*($A100/100))*($A100/100))</f>
        <v>1.08439596123756</v>
      </c>
      <c r="AB100" s="9" t="n">
        <f aca="false">AB$5*(1+A_pore*AB$6*($A100/100))/(1-AB$6*(1+((1-phimax_pore)/phimax_pore^2)*($A100/100))*($A100/100))</f>
        <v>1.0849063562742</v>
      </c>
      <c r="AC100" s="9" t="n">
        <f aca="false">AC$5*(1+A_pore*AC$6*($A100/100))/(1-AC$6*(1+((1-phimax_pore)/phimax_pore^2)*($A100/100))*($A100/100))</f>
        <v>1.08542946644047</v>
      </c>
      <c r="AD100" s="9" t="n">
        <f aca="false">AD$5*(1+A_pore*AD$6*($A100/100))/(1-AD$6*(1+((1-phimax_pore)/phimax_pore^2)*($A100/100))*($A100/100))</f>
        <v>1.08596585339972</v>
      </c>
      <c r="AE100" s="9" t="n">
        <f aca="false">AE$5*(1+A_pore*AE$6*($A100/100))/(1-AE$6*(1+((1-phimax_pore)/phimax_pore^2)*($A100/100))*($A100/100))</f>
        <v>1.08651611514588</v>
      </c>
      <c r="AF100" s="9" t="n">
        <f aca="false">AF$5*(1+A_pore*AF$6*($A100/100))/(1-AF$6*(1+((1-phimax_pore)/phimax_pore^2)*($A100/100))*($A100/100))</f>
        <v>1.08708088909211</v>
      </c>
      <c r="AG100" s="9" t="n">
        <f aca="false">AG$5*(1+A_pore*AG$6*($A100/100))/(1-AG$6*(1+((1-phimax_pore)/phimax_pore^2)*($A100/100))*($A100/100))</f>
        <v>1.08766085548436</v>
      </c>
      <c r="AH100" s="9" t="n">
        <f aca="false">AH$5*(1+A_pore*AH$6*($A100/100))/(1-AH$6*(1+((1-phimax_pore)/phimax_pore^2)*($A100/100))*($A100/100))</f>
        <v>1.08825674118068</v>
      </c>
      <c r="AI100" s="9" t="n">
        <f aca="false">AI$5*(1+A_pore*AI$6*($A100/100))/(1-AI$6*(1+((1-phimax_pore)/phimax_pore^2)*($A100/100))*($A100/100))</f>
        <v>1.0888693238429</v>
      </c>
      <c r="AJ100" s="9" t="n">
        <f aca="false">AJ$5*(1+A_pore*AJ$6*($A100/100))/(1-AJ$6*(1+((1-phimax_pore)/phimax_pore^2)*($A100/100))*($A100/100))</f>
        <v>1.08949943659461</v>
      </c>
      <c r="AK100" s="9" t="n">
        <f aca="false">AK$5*(1+A_pore*AK$6*($A100/100))/(1-AK$6*(1+((1-phimax_pore)/phimax_pore^2)*($A100/100))*($A100/100))</f>
        <v>1.09014797320723</v>
      </c>
    </row>
    <row r="101" customFormat="false" ht="15" hidden="false" customHeight="false" outlineLevel="0" collapsed="false">
      <c r="A101" s="4" t="n">
        <v>92</v>
      </c>
      <c r="B101" s="9" t="n">
        <f aca="false">B$5*(1+A_pore*B$6*($A101/100))/(1-B$6*(1+((1-phimax_pore)/phimax_pore^2)*($A101/100))*($A101/100))</f>
        <v>1.06508525127213</v>
      </c>
      <c r="C101" s="9" t="n">
        <f aca="false">C$5*(1+A_pore*C$6*($A101/100))/(1-C$6*(1+((1-phimax_pore)/phimax_pore^2)*($A101/100))*($A101/100))</f>
        <v>1.06535400222746</v>
      </c>
      <c r="D101" s="9" t="n">
        <f aca="false">D$5*(1+A_pore*D$6*($A101/100))/(1-D$6*(1+((1-phimax_pore)/phimax_pore^2)*($A101/100))*($A101/100))</f>
        <v>1.06562738181153</v>
      </c>
      <c r="E101" s="9" t="n">
        <f aca="false">E$5*(1+A_pore*E$6*($A101/100))/(1-E$6*(1+((1-phimax_pore)/phimax_pore^2)*($A101/100))*($A101/100))</f>
        <v>1.06590552735966</v>
      </c>
      <c r="F101" s="9" t="n">
        <f aca="false">F$5*(1+A_pore*F$6*($A101/100))/(1-F$6*(1+((1-phimax_pore)/phimax_pore^2)*($A101/100))*($A101/100))</f>
        <v>1.06618858219211</v>
      </c>
      <c r="G101" s="9" t="n">
        <f aca="false">G$5*(1+A_pore*G$6*($A101/100))/(1-G$6*(1+((1-phimax_pore)/phimax_pore^2)*($A101/100))*($A101/100))</f>
        <v>1.06647669596017</v>
      </c>
      <c r="H101" s="9" t="n">
        <f aca="false">H$5*(1+A_pore*H$6*($A101/100))/(1-H$6*(1+((1-phimax_pore)/phimax_pore^2)*($A101/100))*($A101/100))</f>
        <v>1.0667700250171</v>
      </c>
      <c r="I101" s="9" t="n">
        <f aca="false">I$5*(1+A_pore*I$6*($A101/100))/(1-I$6*(1+((1-phimax_pore)/phimax_pore^2)*($A101/100))*($A101/100))</f>
        <v>1.06706873281623</v>
      </c>
      <c r="J101" s="9" t="n">
        <f aca="false">J$5*(1+A_pore*J$6*($A101/100))/(1-J$6*(1+((1-phimax_pore)/phimax_pore^2)*($A101/100))*($A101/100))</f>
        <v>1.06737299033833</v>
      </c>
      <c r="K101" s="9" t="n">
        <f aca="false">K$5*(1+A_pore*K$6*($A101/100))/(1-K$6*(1+((1-phimax_pore)/phimax_pore^2)*($A101/100))*($A101/100))</f>
        <v>1.06768297655105</v>
      </c>
      <c r="L101" s="9" t="n">
        <f aca="false">L$5*(1+A_pore*L$6*($A101/100))/(1-L$6*(1+((1-phimax_pore)/phimax_pore^2)*($A101/100))*($A101/100))</f>
        <v>1.0679988789032</v>
      </c>
      <c r="M101" s="9" t="n">
        <f aca="false">M$5*(1+A_pore*M$6*($A101/100))/(1-M$6*(1+((1-phimax_pore)/phimax_pore^2)*($A101/100))*($A101/100))</f>
        <v>1.06832089385707</v>
      </c>
      <c r="N101" s="9" t="n">
        <f aca="false">N$5*(1+A_pore*N$6*($A101/100))/(1-N$6*(1+((1-phimax_pore)/phimax_pore^2)*($A101/100))*($A101/100))</f>
        <v>1.06864922746215</v>
      </c>
      <c r="O101" s="9" t="n">
        <f aca="false">O$5*(1+A_pore*O$6*($A101/100))/(1-O$6*(1+((1-phimax_pore)/phimax_pore^2)*($A101/100))*($A101/100))</f>
        <v>1.06898409597439</v>
      </c>
      <c r="P101" s="9" t="n">
        <f aca="false">P$5*(1+A_pore*P$6*($A101/100))/(1-P$6*(1+((1-phimax_pore)/phimax_pore^2)*($A101/100))*($A101/100))</f>
        <v>1.06932572652497</v>
      </c>
      <c r="Q101" s="9" t="n">
        <f aca="false">Q$5*(1+A_pore*Q$6*($A101/100))/(1-Q$6*(1+((1-phimax_pore)/phimax_pore^2)*($A101/100))*($A101/100))</f>
        <v>1.06967435784349</v>
      </c>
      <c r="R101" s="9" t="n">
        <f aca="false">R$5*(1+A_pore*R$6*($A101/100))/(1-R$6*(1+((1-phimax_pore)/phimax_pore^2)*($A101/100))*($A101/100))</f>
        <v>1.07003024104098</v>
      </c>
      <c r="S101" s="9" t="n">
        <f aca="false">S$5*(1+A_pore*S$6*($A101/100))/(1-S$6*(1+((1-phimax_pore)/phimax_pore^2)*($A101/100))*($A101/100))</f>
        <v>1.07039364045827</v>
      </c>
      <c r="T101" s="9" t="n">
        <f aca="false">T$5*(1+A_pore*T$6*($A101/100))/(1-T$6*(1+((1-phimax_pore)/phimax_pore^2)*($A101/100))*($A101/100))</f>
        <v>1.07076483458669</v>
      </c>
      <c r="U101" s="9" t="n">
        <f aca="false">U$5*(1+A_pore*U$6*($A101/100))/(1-U$6*(1+((1-phimax_pore)/phimax_pore^2)*($A101/100))*($A101/100))</f>
        <v>1.07114411706805</v>
      </c>
      <c r="V101" s="9" t="n">
        <f aca="false">V$5*(1+A_pore*V$6*($A101/100))/(1-V$6*(1+((1-phimax_pore)/phimax_pore^2)*($A101/100))*($A101/100))</f>
        <v>1.07153179778233</v>
      </c>
      <c r="W101" s="9" t="n">
        <f aca="false">W$5*(1+A_pore*W$6*($A101/100))/(1-W$6*(1+((1-phimax_pore)/phimax_pore^2)*($A101/100))*($A101/100))</f>
        <v>1.07192820403216</v>
      </c>
      <c r="X101" s="9" t="n">
        <f aca="false">X$5*(1+A_pore*X$6*($A101/100))/(1-X$6*(1+((1-phimax_pore)/phimax_pore^2)*($A101/100))*($A101/100))</f>
        <v>1.07233368183425</v>
      </c>
      <c r="Y101" s="9" t="n">
        <f aca="false">Y$5*(1+A_pore*Y$6*($A101/100))/(1-Y$6*(1+((1-phimax_pore)/phimax_pore^2)*($A101/100))*($A101/100))</f>
        <v>1.07274859732957</v>
      </c>
      <c r="Z101" s="9" t="n">
        <f aca="false">Z$5*(1+A_pore*Z$6*($A101/100))/(1-Z$6*(1+((1-phimax_pore)/phimax_pore^2)*($A101/100))*($A101/100))</f>
        <v>1.07317333832501</v>
      </c>
      <c r="AA101" s="9" t="n">
        <f aca="false">AA$5*(1+A_pore*AA$6*($A101/100))/(1-AA$6*(1+((1-phimax_pore)/phimax_pore^2)*($A101/100))*($A101/100))</f>
        <v>1.07360831598139</v>
      </c>
      <c r="AB101" s="9" t="n">
        <f aca="false">AB$5*(1+A_pore*AB$6*($A101/100))/(1-AB$6*(1+((1-phimax_pore)/phimax_pore^2)*($A101/100))*($A101/100))</f>
        <v>1.0740539666642</v>
      </c>
      <c r="AC101" s="9" t="n">
        <f aca="false">AC$5*(1+A_pore*AC$6*($A101/100))/(1-AC$6*(1+((1-phimax_pore)/phimax_pore^2)*($A101/100))*($A101/100))</f>
        <v>1.07451075397593</v>
      </c>
      <c r="AD101" s="9" t="n">
        <f aca="false">AD$5*(1+A_pore*AD$6*($A101/100))/(1-AD$6*(1+((1-phimax_pore)/phimax_pore^2)*($A101/100))*($A101/100))</f>
        <v>1.07497917099121</v>
      </c>
      <c r="AE101" s="9" t="n">
        <f aca="false">AE$5*(1+A_pore*AE$6*($A101/100))/(1-AE$6*(1+((1-phimax_pore)/phimax_pore^2)*($A101/100))*($A101/100))</f>
        <v>1.07545974271886</v>
      </c>
      <c r="AF101" s="9" t="n">
        <f aca="false">AF$5*(1+A_pore*AF$6*($A101/100))/(1-AF$6*(1+((1-phimax_pore)/phimax_pore^2)*($A101/100))*($A101/100))</f>
        <v>1.07595302881841</v>
      </c>
      <c r="AG101" s="9" t="n">
        <f aca="false">AG$5*(1+A_pore*AG$6*($A101/100))/(1-AG$6*(1+((1-phimax_pore)/phimax_pore^2)*($A101/100))*($A101/100))</f>
        <v>1.07645962660244</v>
      </c>
      <c r="AH101" s="9" t="n">
        <f aca="false">AH$5*(1+A_pore*AH$6*($A101/100))/(1-AH$6*(1+((1-phimax_pore)/phimax_pore^2)*($A101/100))*($A101/100))</f>
        <v>1.07698017436064</v>
      </c>
      <c r="AI101" s="9" t="n">
        <f aca="false">AI$5*(1+A_pore*AI$6*($A101/100))/(1-AI$6*(1+((1-phimax_pore)/phimax_pore^2)*($A101/100))*($A101/100))</f>
        <v>1.07751535504677</v>
      </c>
      <c r="AJ101" s="9" t="n">
        <f aca="false">AJ$5*(1+A_pore*AJ$6*($A101/100))/(1-AJ$6*(1+((1-phimax_pore)/phimax_pore^2)*($A101/100))*($A101/100))</f>
        <v>1.07806590037573</v>
      </c>
      <c r="AK101" s="9" t="n">
        <f aca="false">AK$5*(1+A_pore*AK$6*($A101/100))/(1-AK$6*(1+((1-phimax_pore)/phimax_pore^2)*($A101/100))*($A101/100))</f>
        <v>1.07863259538532</v>
      </c>
    </row>
    <row r="102" customFormat="false" ht="15" hidden="false" customHeight="false" outlineLevel="0" collapsed="false">
      <c r="A102" s="4" t="n">
        <v>93</v>
      </c>
      <c r="B102" s="9" t="n">
        <f aca="false">B$5*(1+A_pore*B$6*($A102/100))/(1-B$6*(1+((1-phimax_pore)/phimax_pore^2)*($A102/100))*($A102/100))</f>
        <v>1.05567550324441</v>
      </c>
      <c r="C102" s="9" t="n">
        <f aca="false">C$5*(1+A_pore*C$6*($A102/100))/(1-C$6*(1+((1-phimax_pore)/phimax_pore^2)*($A102/100))*($A102/100))</f>
        <v>1.05590568581197</v>
      </c>
      <c r="D102" s="9" t="n">
        <f aca="false">D$5*(1+A_pore*D$6*($A102/100))/(1-D$6*(1+((1-phimax_pore)/phimax_pore^2)*($A102/100))*($A102/100))</f>
        <v>1.05613984583766</v>
      </c>
      <c r="E102" s="9" t="n">
        <f aca="false">E$5*(1+A_pore*E$6*($A102/100))/(1-E$6*(1+((1-phimax_pore)/phimax_pore^2)*($A102/100))*($A102/100))</f>
        <v>1.05637810170246</v>
      </c>
      <c r="F102" s="9" t="n">
        <f aca="false">F$5*(1+A_pore*F$6*($A102/100))/(1-F$6*(1+((1-phimax_pore)/phimax_pore^2)*($A102/100))*($A102/100))</f>
        <v>1.05662057695753</v>
      </c>
      <c r="G102" s="9" t="n">
        <f aca="false">G$5*(1+A_pore*G$6*($A102/100))/(1-G$6*(1+((1-phimax_pore)/phimax_pore^2)*($A102/100))*($A102/100))</f>
        <v>1.0568674006236</v>
      </c>
      <c r="H102" s="9" t="n">
        <f aca="false">H$5*(1+A_pore*H$6*($A102/100))/(1-H$6*(1+((1-phimax_pore)/phimax_pore^2)*($A102/100))*($A102/100))</f>
        <v>1.05711870751184</v>
      </c>
      <c r="I102" s="9" t="n">
        <f aca="false">I$5*(1+A_pore*I$6*($A102/100))/(1-I$6*(1+((1-phimax_pore)/phimax_pore^2)*($A102/100))*($A102/100))</f>
        <v>1.05737463856825</v>
      </c>
      <c r="J102" s="9" t="n">
        <f aca="false">J$5*(1+A_pore*J$6*($A102/100))/(1-J$6*(1+((1-phimax_pore)/phimax_pore^2)*($A102/100))*($A102/100))</f>
        <v>1.05763534124337</v>
      </c>
      <c r="K102" s="9" t="n">
        <f aca="false">K$5*(1+A_pore*K$6*($A102/100))/(1-K$6*(1+((1-phimax_pore)/phimax_pore^2)*($A102/100))*($A102/100))</f>
        <v>1.05790096988977</v>
      </c>
      <c r="L102" s="9" t="n">
        <f aca="false">L$5*(1+A_pore*L$6*($A102/100))/(1-L$6*(1+((1-phimax_pore)/phimax_pore^2)*($A102/100))*($A102/100))</f>
        <v>1.05817168618971</v>
      </c>
      <c r="M102" s="9" t="n">
        <f aca="false">M$5*(1+A_pore*M$6*($A102/100))/(1-M$6*(1+((1-phimax_pore)/phimax_pore^2)*($A102/100))*($A102/100))</f>
        <v>1.05844765961569</v>
      </c>
      <c r="N102" s="9" t="n">
        <f aca="false">N$5*(1+A_pore*N$6*($A102/100))/(1-N$6*(1+((1-phimax_pore)/phimax_pore^2)*($A102/100))*($A102/100))</f>
        <v>1.05872906792693</v>
      </c>
      <c r="O102" s="9" t="n">
        <f aca="false">O$5*(1+A_pore*O$6*($A102/100))/(1-O$6*(1+((1-phimax_pore)/phimax_pore^2)*($A102/100))*($A102/100))</f>
        <v>1.05901609770511</v>
      </c>
      <c r="P102" s="9" t="n">
        <f aca="false">P$5*(1+A_pore*P$6*($A102/100))/(1-P$6*(1+((1-phimax_pore)/phimax_pore^2)*($A102/100))*($A102/100))</f>
        <v>1.05930894493318</v>
      </c>
      <c r="Q102" s="9" t="n">
        <f aca="false">Q$5*(1+A_pore*Q$6*($A102/100))/(1-Q$6*(1+((1-phimax_pore)/phimax_pore^2)*($A102/100))*($A102/100))</f>
        <v>1.05960781562118</v>
      </c>
      <c r="R102" s="9" t="n">
        <f aca="false">R$5*(1+A_pore*R$6*($A102/100))/(1-R$6*(1+((1-phimax_pore)/phimax_pore^2)*($A102/100))*($A102/100))</f>
        <v>1.05991292648379</v>
      </c>
      <c r="S102" s="9" t="n">
        <f aca="false">S$5*(1+A_pore*S$6*($A102/100))/(1-S$6*(1+((1-phimax_pore)/phimax_pore^2)*($A102/100))*($A102/100))</f>
        <v>1.06022450567462</v>
      </c>
      <c r="T102" s="9" t="n">
        <f aca="false">T$5*(1+A_pore*T$6*($A102/100))/(1-T$6*(1+((1-phimax_pore)/phimax_pore^2)*($A102/100))*($A102/100))</f>
        <v>1.06054279358303</v>
      </c>
      <c r="U102" s="9" t="n">
        <f aca="false">U$5*(1+A_pore*U$6*($A102/100))/(1-U$6*(1+((1-phimax_pore)/phimax_pore^2)*($A102/100))*($A102/100))</f>
        <v>1.06086804369962</v>
      </c>
      <c r="V102" s="9" t="n">
        <f aca="false">V$5*(1+A_pore*V$6*($A102/100))/(1-V$6*(1+((1-phimax_pore)/phimax_pore^2)*($A102/100))*($A102/100))</f>
        <v>1.06120052355765</v>
      </c>
      <c r="W102" s="9" t="n">
        <f aca="false">W$5*(1+A_pore*W$6*($A102/100))/(1-W$6*(1+((1-phimax_pore)/phimax_pore^2)*($A102/100))*($A102/100))</f>
        <v>1.06154051575832</v>
      </c>
      <c r="X102" s="9" t="n">
        <f aca="false">X$5*(1+A_pore*X$6*($A102/100))/(1-X$6*(1+((1-phimax_pore)/phimax_pore^2)*($A102/100))*($A102/100))</f>
        <v>1.06188831908862</v>
      </c>
      <c r="Y102" s="9" t="n">
        <f aca="false">Y$5*(1+A_pore*Y$6*($A102/100))/(1-Y$6*(1+((1-phimax_pore)/phimax_pore^2)*($A102/100))*($A102/100))</f>
        <v>1.06224424974204</v>
      </c>
      <c r="Z102" s="9" t="n">
        <f aca="false">Z$5*(1+A_pore*Z$6*($A102/100))/(1-Z$6*(1+((1-phimax_pore)/phimax_pore^2)*($A102/100))*($A102/100))</f>
        <v>1.0626086426531</v>
      </c>
      <c r="AA102" s="9" t="n">
        <f aca="false">AA$5*(1+A_pore*AA$6*($A102/100))/(1-AA$6*(1+((1-phimax_pore)/phimax_pore^2)*($A102/100))*($A102/100))</f>
        <v>1.06298185295865</v>
      </c>
      <c r="AB102" s="9" t="n">
        <f aca="false">AB$5*(1+A_pore*AB$6*($A102/100))/(1-AB$6*(1+((1-phimax_pore)/phimax_pore^2)*($A102/100))*($A102/100))</f>
        <v>1.0633642576001</v>
      </c>
      <c r="AC102" s="9" t="n">
        <f aca="false">AC$5*(1+A_pore*AC$6*($A102/100))/(1-AC$6*(1+((1-phimax_pore)/phimax_pore^2)*($A102/100))*($A102/100))</f>
        <v>1.06375625708289</v>
      </c>
      <c r="AD102" s="9" t="n">
        <f aca="false">AD$5*(1+A_pore*AD$6*($A102/100))/(1-AD$6*(1+((1-phimax_pore)/phimax_pore^2)*($A102/100))*($A102/100))</f>
        <v>1.06415827741156</v>
      </c>
      <c r="AE102" s="9" t="n">
        <f aca="false">AE$5*(1+A_pore*AE$6*($A102/100))/(1-AE$6*(1+((1-phimax_pore)/phimax_pore^2)*($A102/100))*($A102/100))</f>
        <v>1.06457077222146</v>
      </c>
      <c r="AF102" s="9" t="n">
        <f aca="false">AF$5*(1+A_pore*AF$6*($A102/100))/(1-AF$6*(1+((1-phimax_pore)/phimax_pore^2)*($A102/100))*($A102/100))</f>
        <v>1.0649942251307</v>
      </c>
      <c r="AG102" s="9" t="n">
        <f aca="false">AG$5*(1+A_pore*AG$6*($A102/100))/(1-AG$6*(1+((1-phimax_pore)/phimax_pore^2)*($A102/100))*($A102/100))</f>
        <v>1.0654291523397</v>
      </c>
      <c r="AH102" s="9" t="n">
        <f aca="false">AH$5*(1+A_pore*AH$6*($A102/100))/(1-AH$6*(1+((1-phimax_pore)/phimax_pore^2)*($A102/100))*($A102/100))</f>
        <v>1.06587610550943</v>
      </c>
      <c r="AI102" s="9" t="n">
        <f aca="false">AI$5*(1+A_pore*AI$6*($A102/100))/(1-AI$6*(1+((1-phimax_pore)/phimax_pore^2)*($A102/100))*($A102/100))</f>
        <v>1.06633567495384</v>
      </c>
      <c r="AJ102" s="9" t="n">
        <f aca="false">AJ$5*(1+A_pore*AJ$6*($A102/100))/(1-AJ$6*(1+((1-phimax_pore)/phimax_pore^2)*($A102/100))*($A102/100))</f>
        <v>1.06680849318758</v>
      </c>
      <c r="AK102" s="9" t="n">
        <f aca="false">AK$5*(1+A_pore*AK$6*($A102/100))/(1-AK$6*(1+((1-phimax_pore)/phimax_pore^2)*($A102/100))*($A102/100))</f>
        <v>1.06729523887616</v>
      </c>
    </row>
    <row r="103" customFormat="false" ht="15" hidden="false" customHeight="false" outlineLevel="0" collapsed="false">
      <c r="A103" s="4" t="n">
        <v>94</v>
      </c>
      <c r="B103" s="9" t="n">
        <f aca="false">B$5*(1+A_pore*B$6*($A103/100))/(1-B$6*(1+((1-phimax_pore)/phimax_pore^2)*($A103/100))*($A103/100))</f>
        <v>1.04639553635303</v>
      </c>
      <c r="C103" s="9" t="n">
        <f aca="false">C$5*(1+A_pore*C$6*($A103/100))/(1-C$6*(1+((1-phimax_pore)/phimax_pore^2)*($A103/100))*($A103/100))</f>
        <v>1.04658802528004</v>
      </c>
      <c r="D103" s="9" t="n">
        <f aca="false">D$5*(1+A_pore*D$6*($A103/100))/(1-D$6*(1+((1-phimax_pore)/phimax_pore^2)*($A103/100))*($A103/100))</f>
        <v>1.04678385598904</v>
      </c>
      <c r="E103" s="9" t="n">
        <f aca="false">E$5*(1+A_pore*E$6*($A103/100))/(1-E$6*(1+((1-phimax_pore)/phimax_pore^2)*($A103/100))*($A103/100))</f>
        <v>1.04698312834712</v>
      </c>
      <c r="F103" s="9" t="n">
        <f aca="false">F$5*(1+A_pore*F$6*($A103/100))/(1-F$6*(1+((1-phimax_pore)/phimax_pore^2)*($A103/100))*($A103/100))</f>
        <v>1.04718594659489</v>
      </c>
      <c r="G103" s="9" t="n">
        <f aca="false">G$5*(1+A_pore*G$6*($A103/100))/(1-G$6*(1+((1-phimax_pore)/phimax_pore^2)*($A103/100))*($A103/100))</f>
        <v>1.0473924196001</v>
      </c>
      <c r="H103" s="9" t="n">
        <f aca="false">H$5*(1+A_pore*H$6*($A103/100))/(1-H$6*(1+((1-phimax_pore)/phimax_pore^2)*($A103/100))*($A103/100))</f>
        <v>1.04760266112955</v>
      </c>
      <c r="I103" s="9" t="n">
        <f aca="false">I$5*(1+A_pore*I$6*($A103/100))/(1-I$6*(1+((1-phimax_pore)/phimax_pore^2)*($A103/100))*($A103/100))</f>
        <v>1.04781679014084</v>
      </c>
      <c r="J103" s="9" t="n">
        <f aca="false">J$5*(1+A_pore*J$6*($A103/100))/(1-J$6*(1+((1-phimax_pore)/phimax_pore^2)*($A103/100))*($A103/100))</f>
        <v>1.04803493109571</v>
      </c>
      <c r="K103" s="9" t="n">
        <f aca="false">K$5*(1+A_pore*K$6*($A103/100))/(1-K$6*(1+((1-phimax_pore)/phimax_pore^2)*($A103/100))*($A103/100))</f>
        <v>1.04825721429686</v>
      </c>
      <c r="L103" s="9" t="n">
        <f aca="false">L$5*(1+A_pore*L$6*($A103/100))/(1-L$6*(1+((1-phimax_pore)/phimax_pore^2)*($A103/100))*($A103/100))</f>
        <v>1.04848377625035</v>
      </c>
      <c r="M103" s="9" t="n">
        <f aca="false">M$5*(1+A_pore*M$6*($A103/100))/(1-M$6*(1+((1-phimax_pore)/phimax_pore^2)*($A103/100))*($A103/100))</f>
        <v>1.04871476005595</v>
      </c>
      <c r="N103" s="9" t="n">
        <f aca="false">N$5*(1+A_pore*N$6*($A103/100))/(1-N$6*(1+((1-phimax_pore)/phimax_pore^2)*($A103/100))*($A103/100))</f>
        <v>1.04895031582792</v>
      </c>
      <c r="O103" s="9" t="n">
        <f aca="false">O$5*(1+A_pore*O$6*($A103/100))/(1-O$6*(1+((1-phimax_pore)/phimax_pore^2)*($A103/100))*($A103/100))</f>
        <v>1.04919060114911</v>
      </c>
      <c r="P103" s="9" t="n">
        <f aca="false">P$5*(1+A_pore*P$6*($A103/100))/(1-P$6*(1+((1-phimax_pore)/phimax_pore^2)*($A103/100))*($A103/100))</f>
        <v>1.04943578156156</v>
      </c>
      <c r="Q103" s="9" t="n">
        <f aca="false">Q$5*(1+A_pore*Q$6*($A103/100))/(1-Q$6*(1+((1-phimax_pore)/phimax_pore^2)*($A103/100))*($A103/100))</f>
        <v>1.04968603109697</v>
      </c>
      <c r="R103" s="9" t="n">
        <f aca="false">R$5*(1+A_pore*R$6*($A103/100))/(1-R$6*(1+((1-phimax_pore)/phimax_pore^2)*($A103/100))*($A103/100))</f>
        <v>1.04994153285113</v>
      </c>
      <c r="S103" s="9" t="n">
        <f aca="false">S$5*(1+A_pore*S$6*($A103/100))/(1-S$6*(1+((1-phimax_pore)/phimax_pore^2)*($A103/100))*($A103/100))</f>
        <v>1.05020247960637</v>
      </c>
      <c r="T103" s="9" t="n">
        <f aca="false">T$5*(1+A_pore*T$6*($A103/100))/(1-T$6*(1+((1-phimax_pore)/phimax_pore^2)*($A103/100))*($A103/100))</f>
        <v>1.05046907450708</v>
      </c>
      <c r="U103" s="9" t="n">
        <f aca="false">U$5*(1+A_pore*U$6*($A103/100))/(1-U$6*(1+((1-phimax_pore)/phimax_pore^2)*($A103/100))*($A103/100))</f>
        <v>1.05074153179351</v>
      </c>
      <c r="V103" s="9" t="n">
        <f aca="false">V$5*(1+A_pore*V$6*($A103/100))/(1-V$6*(1+((1-phimax_pore)/phimax_pore^2)*($A103/100))*($A103/100))</f>
        <v>1.05102007760001</v>
      </c>
      <c r="W103" s="9" t="n">
        <f aca="false">W$5*(1+A_pore*W$6*($A103/100))/(1-W$6*(1+((1-phimax_pore)/phimax_pore^2)*($A103/100))*($A103/100))</f>
        <v>1.05130495082426</v>
      </c>
      <c r="X103" s="9" t="n">
        <f aca="false">X$5*(1+A_pore*X$6*($A103/100))/(1-X$6*(1+((1-phimax_pore)/phimax_pore^2)*($A103/100))*($A103/100))</f>
        <v>1.05159640407524</v>
      </c>
      <c r="Y103" s="9" t="n">
        <f aca="false">Y$5*(1+A_pore*Y$6*($A103/100))/(1-Y$6*(1+((1-phimax_pore)/phimax_pore^2)*($A103/100))*($A103/100))</f>
        <v>1.05189470470825</v>
      </c>
      <c r="Z103" s="9" t="n">
        <f aca="false">Z$5*(1+A_pore*Z$6*($A103/100))/(1-Z$6*(1+((1-phimax_pore)/phimax_pore^2)*($A103/100))*($A103/100))</f>
        <v>1.05220013595666</v>
      </c>
      <c r="AA103" s="9" t="n">
        <f aca="false">AA$5*(1+A_pore*AA$6*($A103/100))/(1-AA$6*(1+((1-phimax_pore)/phimax_pore^2)*($A103/100))*($A103/100))</f>
        <v>1.0525129981711</v>
      </c>
      <c r="AB103" s="9" t="n">
        <f aca="false">AB$5*(1+A_pore*AB$6*($A103/100))/(1-AB$6*(1+((1-phimax_pore)/phimax_pore^2)*($A103/100))*($A103/100))</f>
        <v>1.05283361017826</v>
      </c>
      <c r="AC103" s="9" t="n">
        <f aca="false">AC$5*(1+A_pore*AC$6*($A103/100))/(1-AC$6*(1+((1-phimax_pore)/phimax_pore^2)*($A103/100))*($A103/100))</f>
        <v>1.05316231077303</v>
      </c>
      <c r="AD103" s="9" t="n">
        <f aca="false">AD$5*(1+A_pore*AD$6*($A103/100))/(1-AD$6*(1+((1-phimax_pore)/phimax_pore^2)*($A103/100))*($A103/100))</f>
        <v>1.05349946035978</v>
      </c>
      <c r="AE103" s="9" t="n">
        <f aca="false">AE$5*(1+A_pore*AE$6*($A103/100))/(1-AE$6*(1+((1-phimax_pore)/phimax_pore^2)*($A103/100))*($A103/100))</f>
        <v>1.05384544276024</v>
      </c>
      <c r="AF103" s="9" t="n">
        <f aca="false">AF$5*(1+A_pore*AF$6*($A103/100))/(1-AF$6*(1+((1-phimax_pore)/phimax_pore^2)*($A103/100))*($A103/100))</f>
        <v>1.05420066720843</v>
      </c>
      <c r="AG103" s="9" t="n">
        <f aca="false">AG$5*(1+A_pore*AG$6*($A103/100))/(1-AG$6*(1+((1-phimax_pore)/phimax_pore^2)*($A103/100))*($A103/100))</f>
        <v>1.05456557055562</v>
      </c>
      <c r="AH103" s="9" t="n">
        <f aca="false">AH$5*(1+A_pore*AH$6*($A103/100))/(1-AH$6*(1+((1-phimax_pore)/phimax_pore^2)*($A103/100))*($A103/100))</f>
        <v>1.05494061971166</v>
      </c>
      <c r="AI103" s="9" t="n">
        <f aca="false">AI$5*(1+A_pore*AI$6*($A103/100))/(1-AI$6*(1+((1-phimax_pore)/phimax_pore^2)*($A103/100))*($A103/100))</f>
        <v>1.05532631435304</v>
      </c>
      <c r="AJ103" s="9" t="n">
        <f aca="false">AJ$5*(1+A_pore*AJ$6*($A103/100))/(1-AJ$6*(1+((1-phimax_pore)/phimax_pore^2)*($A103/100))*($A103/100))</f>
        <v>1.0557231899323</v>
      </c>
      <c r="AK103" s="9" t="n">
        <f aca="false">AK$5*(1+A_pore*AK$6*($A103/100))/(1-AK$6*(1+((1-phimax_pore)/phimax_pore^2)*($A103/100))*($A103/100))</f>
        <v>1.05613182102892</v>
      </c>
    </row>
    <row r="104" customFormat="false" ht="15" hidden="false" customHeight="false" outlineLevel="0" collapsed="false">
      <c r="A104" s="4" t="n">
        <v>95</v>
      </c>
      <c r="B104" s="9" t="n">
        <f aca="false">B$5*(1+A_pore*B$6*($A104/100))/(1-B$6*(1+((1-phimax_pore)/phimax_pore^2)*($A104/100))*($A104/100))</f>
        <v>1.03724269230044</v>
      </c>
      <c r="C104" s="9" t="n">
        <f aca="false">C$5*(1+A_pore*C$6*($A104/100))/(1-C$6*(1+((1-phimax_pore)/phimax_pore^2)*($A104/100))*($A104/100))</f>
        <v>1.03739833743886</v>
      </c>
      <c r="D104" s="9" t="n">
        <f aca="false">D$5*(1+A_pore*D$6*($A104/100))/(1-D$6*(1+((1-phimax_pore)/phimax_pore^2)*($A104/100))*($A104/100))</f>
        <v>1.03755670369089</v>
      </c>
      <c r="E104" s="9" t="n">
        <f aca="false">E$5*(1+A_pore*E$6*($A104/100))/(1-E$6*(1+((1-phimax_pore)/phimax_pore^2)*($A104/100))*($A104/100))</f>
        <v>1.03771787283591</v>
      </c>
      <c r="F104" s="9" t="n">
        <f aca="false">F$5*(1+A_pore*F$6*($A104/100))/(1-F$6*(1+((1-phimax_pore)/phimax_pore^2)*($A104/100))*($A104/100))</f>
        <v>1.03788193024763</v>
      </c>
      <c r="G104" s="9" t="n">
        <f aca="false">G$5*(1+A_pore*G$6*($A104/100))/(1-G$6*(1+((1-phimax_pore)/phimax_pore^2)*($A104/100))*($A104/100))</f>
        <v>1.0380489651029</v>
      </c>
      <c r="H104" s="9" t="n">
        <f aca="false">H$5*(1+A_pore*H$6*($A104/100))/(1-H$6*(1+((1-phimax_pore)/phimax_pore^2)*($A104/100))*($A104/100))</f>
        <v>1.03821907060569</v>
      </c>
      <c r="I104" s="9" t="n">
        <f aca="false">I$5*(1+A_pore*I$6*($A104/100))/(1-I$6*(1+((1-phimax_pore)/phimax_pore^2)*($A104/100))*($A104/100))</f>
        <v>1.03839234422734</v>
      </c>
      <c r="J104" s="9" t="n">
        <f aca="false">J$5*(1+A_pore*J$6*($A104/100))/(1-J$6*(1+((1-phimax_pore)/phimax_pore^2)*($A104/100))*($A104/100))</f>
        <v>1.03856888796464</v>
      </c>
      <c r="K104" s="9" t="n">
        <f aca="false">K$5*(1+A_pore*K$6*($A104/100))/(1-K$6*(1+((1-phimax_pore)/phimax_pore^2)*($A104/100))*($A104/100))</f>
        <v>1.03874880861728</v>
      </c>
      <c r="L104" s="9" t="n">
        <f aca="false">L$5*(1+A_pore*L$6*($A104/100))/(1-L$6*(1+((1-phimax_pore)/phimax_pore^2)*($A104/100))*($A104/100))</f>
        <v>1.03893221808637</v>
      </c>
      <c r="M104" s="9" t="n">
        <f aca="false">M$5*(1+A_pore*M$6*($A104/100))/(1-M$6*(1+((1-phimax_pore)/phimax_pore^2)*($A104/100))*($A104/100))</f>
        <v>1.03911923369604</v>
      </c>
      <c r="N104" s="9" t="n">
        <f aca="false">N$5*(1+A_pore*N$6*($A104/100))/(1-N$6*(1+((1-phimax_pore)/phimax_pore^2)*($A104/100))*($A104/100))</f>
        <v>1.03930997854002</v>
      </c>
      <c r="O104" s="9" t="n">
        <f aca="false">O$5*(1+A_pore*O$6*($A104/100))/(1-O$6*(1+((1-phimax_pore)/phimax_pore^2)*($A104/100))*($A104/100))</f>
        <v>1.0395045818559</v>
      </c>
      <c r="P104" s="9" t="n">
        <f aca="false">P$5*(1+A_pore*P$6*($A104/100))/(1-P$6*(1+((1-phimax_pore)/phimax_pore^2)*($A104/100))*($A104/100))</f>
        <v>1.03970317942925</v>
      </c>
      <c r="Q104" s="9" t="n">
        <f aca="false">Q$5*(1+A_pore*Q$6*($A104/100))/(1-Q$6*(1+((1-phimax_pore)/phimax_pore^2)*($A104/100))*($A104/100))</f>
        <v>1.0399059140308</v>
      </c>
      <c r="R104" s="9" t="n">
        <f aca="false">R$5*(1+A_pore*R$6*($A104/100))/(1-R$6*(1+((1-phimax_pore)/phimax_pore^2)*($A104/100))*($A104/100))</f>
        <v>1.04011293588976</v>
      </c>
      <c r="S104" s="9" t="n">
        <f aca="false">S$5*(1+A_pore*S$6*($A104/100))/(1-S$6*(1+((1-phimax_pore)/phimax_pore^2)*($A104/100))*($A104/100))</f>
        <v>1.04032440320678</v>
      </c>
      <c r="T104" s="9" t="n">
        <f aca="false">T$5*(1+A_pore*T$6*($A104/100))/(1-T$6*(1+((1-phimax_pore)/phimax_pore^2)*($A104/100))*($A104/100))</f>
        <v>1.04054048271072</v>
      </c>
      <c r="U104" s="9" t="n">
        <f aca="false">U$5*(1+A_pore*U$6*($A104/100))/(1-U$6*(1+((1-phimax_pore)/phimax_pore^2)*($A104/100))*($A104/100))</f>
        <v>1.04076135026339</v>
      </c>
      <c r="V104" s="9" t="n">
        <f aca="false">V$5*(1+A_pore*V$6*($A104/100))/(1-V$6*(1+((1-phimax_pore)/phimax_pore^2)*($A104/100))*($A104/100))</f>
        <v>1.04098719151748</v>
      </c>
      <c r="W104" s="9" t="n">
        <f aca="false">W$5*(1+A_pore*W$6*($A104/100))/(1-W$6*(1+((1-phimax_pore)/phimax_pore^2)*($A104/100))*($A104/100))</f>
        <v>1.04121820263309</v>
      </c>
      <c r="X104" s="9" t="n">
        <f aca="false">X$5*(1+A_pore*X$6*($A104/100))/(1-X$6*(1+((1-phimax_pore)/phimax_pore^2)*($A104/100))*($A104/100))</f>
        <v>1.0414545910591</v>
      </c>
      <c r="Y104" s="9" t="n">
        <f aca="false">Y$5*(1+A_pore*Y$6*($A104/100))/(1-Y$6*(1+((1-phimax_pore)/phimax_pore^2)*($A104/100))*($A104/100))</f>
        <v>1.04169657638642</v>
      </c>
      <c r="Z104" s="9" t="n">
        <f aca="false">Z$5*(1+A_pore*Z$6*($A104/100))/(1-Z$6*(1+((1-phimax_pore)/phimax_pore^2)*($A104/100))*($A104/100))</f>
        <v>1.04194439128099</v>
      </c>
      <c r="AA104" s="9" t="n">
        <f aca="false">AA$5*(1+A_pore*AA$6*($A104/100))/(1-AA$6*(1+((1-phimax_pore)/phimax_pore^2)*($A104/100))*($A104/100))</f>
        <v>1.04219828250539</v>
      </c>
      <c r="AB104" s="9" t="n">
        <f aca="false">AB$5*(1+A_pore*AB$6*($A104/100))/(1-AB$6*(1+((1-phimax_pore)/phimax_pore^2)*($A104/100))*($A104/100))</f>
        <v>1.04245851203913</v>
      </c>
      <c r="AC104" s="9" t="n">
        <f aca="false">AC$5*(1+A_pore*AC$6*($A104/100))/(1-AC$6*(1+((1-phimax_pore)/phimax_pore^2)*($A104/100))*($A104/100))</f>
        <v>1.04272535830896</v>
      </c>
      <c r="AD104" s="9" t="n">
        <f aca="false">AD$5*(1+A_pore*AD$6*($A104/100))/(1-AD$6*(1+((1-phimax_pore)/phimax_pore^2)*($A104/100))*($A104/100))</f>
        <v>1.04299911754209</v>
      </c>
      <c r="AE104" s="9" t="n">
        <f aca="false">AE$5*(1+A_pore*AE$6*($A104/100))/(1-AE$6*(1+((1-phimax_pore)/phimax_pore^2)*($A104/100))*($A104/100))</f>
        <v>1.04328010525696</v>
      </c>
      <c r="AF104" s="9" t="n">
        <f aca="false">AF$5*(1+A_pore*AF$6*($A104/100))/(1-AF$6*(1+((1-phimax_pore)/phimax_pore^2)*($A104/100))*($A104/100))</f>
        <v>1.04356865790827</v>
      </c>
      <c r="AG104" s="9" t="n">
        <f aca="false">AG$5*(1+A_pore*AG$6*($A104/100))/(1-AG$6*(1+((1-phimax_pore)/phimax_pore^2)*($A104/100))*($A104/100))</f>
        <v>1.04386513470521</v>
      </c>
      <c r="AH104" s="9" t="n">
        <f aca="false">AH$5*(1+A_pore*AH$6*($A104/100))/(1-AH$6*(1+((1-phimax_pore)/phimax_pore^2)*($A104/100))*($A104/100))</f>
        <v>1.04416991962481</v>
      </c>
      <c r="AI104" s="9" t="n">
        <f aca="false">AI$5*(1+A_pore*AI$6*($A104/100))/(1-AI$6*(1+((1-phimax_pore)/phimax_pore^2)*($A104/100))*($A104/100))</f>
        <v>1.04448342364516</v>
      </c>
      <c r="AJ104" s="9" t="n">
        <f aca="false">AJ$5*(1+A_pore*AJ$6*($A104/100))/(1-AJ$6*(1+((1-phimax_pore)/phimax_pore^2)*($A104/100))*($A104/100))</f>
        <v>1.04480608722744</v>
      </c>
      <c r="AK104" s="9" t="n">
        <f aca="false">AK$5*(1+A_pore*AK$6*($A104/100))/(1-AK$6*(1+((1-phimax_pore)/phimax_pore^2)*($A104/100))*($A104/100))</f>
        <v>1.04513838307946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7" min="2" style="0" width="8"/>
  </cols>
  <sheetData>
    <row r="1" customFormat="false" ht="1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7" t="s">
        <v>130</v>
      </c>
    </row>
    <row r="3" customFormat="false" ht="15" hidden="false" customHeight="false" outlineLevel="0" collapsed="false">
      <c r="A3" s="3" t="s">
        <v>131</v>
      </c>
      <c r="B3" s="12" t="n">
        <v>0</v>
      </c>
      <c r="C3" s="12" t="n">
        <v>2</v>
      </c>
      <c r="D3" s="12" t="n">
        <v>4</v>
      </c>
      <c r="E3" s="12" t="n">
        <v>6</v>
      </c>
      <c r="F3" s="12" t="n">
        <v>8</v>
      </c>
      <c r="G3" s="12" t="n">
        <v>10</v>
      </c>
      <c r="H3" s="12" t="n">
        <v>12</v>
      </c>
      <c r="I3" s="12" t="n">
        <v>14</v>
      </c>
      <c r="J3" s="12" t="n">
        <v>16</v>
      </c>
      <c r="K3" s="12" t="n">
        <v>18</v>
      </c>
      <c r="L3" s="12" t="n">
        <v>20</v>
      </c>
      <c r="M3" s="12" t="n">
        <v>22</v>
      </c>
      <c r="N3" s="12" t="n">
        <v>24</v>
      </c>
      <c r="O3" s="12" t="n">
        <v>26</v>
      </c>
      <c r="P3" s="12" t="n">
        <v>28</v>
      </c>
      <c r="Q3" s="12" t="n">
        <v>30</v>
      </c>
      <c r="R3" s="12" t="n">
        <v>32</v>
      </c>
      <c r="S3" s="12" t="n">
        <v>34</v>
      </c>
      <c r="T3" s="12" t="n">
        <v>36</v>
      </c>
      <c r="U3" s="12" t="n">
        <v>38</v>
      </c>
      <c r="V3" s="12" t="n">
        <v>40</v>
      </c>
      <c r="W3" s="12" t="n">
        <v>42</v>
      </c>
      <c r="X3" s="12" t="n">
        <v>44</v>
      </c>
      <c r="Y3" s="12" t="n">
        <v>46</v>
      </c>
      <c r="Z3" s="12" t="n">
        <v>48</v>
      </c>
      <c r="AA3" s="12" t="n">
        <v>50</v>
      </c>
      <c r="AB3" s="12" t="n">
        <v>52</v>
      </c>
      <c r="AC3" s="12" t="n">
        <v>54</v>
      </c>
      <c r="AD3" s="12" t="n">
        <v>56</v>
      </c>
      <c r="AE3" s="12" t="n">
        <v>58</v>
      </c>
      <c r="AF3" s="12" t="n">
        <v>60</v>
      </c>
      <c r="AG3" s="12" t="n">
        <v>62</v>
      </c>
      <c r="AH3" s="12" t="n">
        <v>64</v>
      </c>
      <c r="AI3" s="12" t="n">
        <v>66</v>
      </c>
      <c r="AJ3" s="12" t="n">
        <v>68</v>
      </c>
      <c r="AK3" s="12" t="n">
        <v>70</v>
      </c>
    </row>
    <row r="4" customFormat="false" ht="15" hidden="false" customHeight="false" outlineLevel="0" collapsed="false">
      <c r="A4" s="3" t="s">
        <v>132</v>
      </c>
      <c r="B4" s="13" t="n">
        <f aca="false">IF(B$3=0,0,(B$3/100/rho_BN)/((B$3/100/rho_BN)+((1-B$3/100)/rho_PI)))</f>
        <v>0</v>
      </c>
      <c r="C4" s="13" t="n">
        <f aca="false">IF(C$3=0,0,(C$3/100/rho_BN)/((C$3/100/rho_BN)+((1-C$3/100)/rho_PI)))</f>
        <v>0.0124966998151897</v>
      </c>
      <c r="D4" s="13" t="n">
        <f aca="false">IF(D$3=0,0,(D$3/100/rho_BN)/((D$3/100/rho_BN)+((1-D$3/100)/rho_PI)))</f>
        <v>0.0251862362539908</v>
      </c>
      <c r="E4" s="13" t="n">
        <f aca="false">IF(E$3=0,0,(E$3/100/rho_BN)/((E$3/100/rho_BN)+((1-E$3/100)/rho_PI)))</f>
        <v>0.0380731075163107</v>
      </c>
      <c r="F4" s="13" t="n">
        <f aca="false">IF(F$3=0,0,(F$3/100/rho_BN)/((F$3/100/rho_BN)+((1-F$3/100)/rho_PI)))</f>
        <v>0.0511619528012971</v>
      </c>
      <c r="G4" s="13" t="n">
        <f aca="false">IF(G$3=0,0,(G$3/100/rho_BN)/((G$3/100/rho_BN)+((1-G$3/100)/rho_PI)))</f>
        <v>0.0644575578756242</v>
      </c>
      <c r="H4" s="13" t="n">
        <f aca="false">IF(H$3=0,0,(H$3/100/rho_BN)/((H$3/100/rho_BN)+((1-H$3/100)/rho_PI)))</f>
        <v>0.0779648609077599</v>
      </c>
      <c r="I4" s="13" t="n">
        <f aca="false">IF(I$3=0,0,(I$3/100/rho_BN)/((I$3/100/rho_BN)+((1-I$3/100)/rho_PI)))</f>
        <v>0.0916889585831565</v>
      </c>
      <c r="J4" s="13" t="n">
        <f aca="false">IF(J$3=0,0,(J$3/100/rho_BN)/((J$3/100/rho_BN)+((1-J$3/100)/rho_PI)))</f>
        <v>0.105635112516273</v>
      </c>
      <c r="K4" s="13" t="n">
        <f aca="false">IF(K$3=0,0,(K$3/100/rho_BN)/((K$3/100/rho_BN)+((1-K$3/100)/rho_PI)))</f>
        <v>0.119808755976376</v>
      </c>
      <c r="L4" s="13" t="n">
        <f aca="false">IF(L$3=0,0,(L$3/100/rho_BN)/((L$3/100/rho_BN)+((1-L$3/100)/rho_PI)))</f>
        <v>0.13421550094518</v>
      </c>
      <c r="M4" s="13" t="n">
        <f aca="false">IF(M$3=0,0,(M$3/100/rho_BN)/((M$3/100/rho_BN)+((1-M$3/100)/rho_PI)))</f>
        <v>0.148861145525589</v>
      </c>
      <c r="N4" s="13" t="n">
        <f aca="false">IF(N$3=0,0,(N$3/100/rho_BN)/((N$3/100/rho_BN)+((1-N$3/100)/rho_PI)))</f>
        <v>0.163751681722083</v>
      </c>
      <c r="O4" s="13" t="n">
        <f aca="false">IF(O$3=0,0,(O$3/100/rho_BN)/((O$3/100/rho_BN)+((1-O$3/100)/rho_PI)))</f>
        <v>0.178893303614691</v>
      </c>
      <c r="P4" s="13" t="n">
        <f aca="false">IF(P$3=0,0,(P$3/100/rho_BN)/((P$3/100/rho_BN)+((1-P$3/100)/rho_PI)))</f>
        <v>0.194292415949961</v>
      </c>
      <c r="Q4" s="13" t="n">
        <f aca="false">IF(Q$3=0,0,(Q$3/100/rho_BN)/((Q$3/100/rho_BN)+((1-Q$3/100)/rho_PI)))</f>
        <v>0.209955643173977</v>
      </c>
      <c r="R4" s="13" t="n">
        <f aca="false">IF(R$3=0,0,(R$3/100/rho_BN)/((R$3/100/rho_BN)+((1-R$3/100)/rho_PI)))</f>
        <v>0.225889838934182</v>
      </c>
      <c r="S4" s="13" t="n">
        <f aca="false">IF(S$3=0,0,(S$3/100/rho_BN)/((S$3/100/rho_BN)+((1-S$3/100)/rho_PI)))</f>
        <v>0.242102096078628</v>
      </c>
      <c r="T4" s="13" t="n">
        <f aca="false">IF(T$3=0,0,(T$3/100/rho_BN)/((T$3/100/rho_BN)+((1-T$3/100)/rho_PI)))</f>
        <v>0.258599757183327</v>
      </c>
      <c r="U4" s="13" t="n">
        <f aca="false">IF(U$3=0,0,(U$3/100/rho_BN)/((U$3/100/rho_BN)+((1-U$3/100)/rho_PI)))</f>
        <v>0.275390425640502</v>
      </c>
      <c r="V4" s="13" t="n">
        <f aca="false">IF(V$3=0,0,(V$3/100/rho_BN)/((V$3/100/rho_BN)+((1-V$3/100)/rho_PI)))</f>
        <v>0.292481977342945</v>
      </c>
      <c r="W4" s="13" t="n">
        <f aca="false">IF(W$3=0,0,(W$3/100/rho_BN)/((W$3/100/rho_BN)+((1-W$3/100)/rho_PI)))</f>
        <v>0.309882573002182</v>
      </c>
      <c r="X4" s="13" t="n">
        <f aca="false">IF(X$3=0,0,(X$3/100/rho_BN)/((X$3/100/rho_BN)+((1-X$3/100)/rho_PI)))</f>
        <v>0.32760067114094</v>
      </c>
      <c r="Y4" s="13" t="n">
        <f aca="false">IF(Y$3=0,0,(Y$3/100/rho_BN)/((Y$3/100/rho_BN)+((1-Y$3/100)/rho_PI)))</f>
        <v>0.345645041803365</v>
      </c>
      <c r="Z4" s="13" t="n">
        <f aca="false">IF(Z$3=0,0,(Z$3/100/rho_BN)/((Z$3/100/rho_BN)+((1-Z$3/100)/rho_PI)))</f>
        <v>0.364024781029695</v>
      </c>
      <c r="AA4" s="13" t="n">
        <f aca="false">IF(AA$3=0,0,(AA$3/100/rho_BN)/((AA$3/100/rho_BN)+((1-AA$3/100)/rho_PI)))</f>
        <v>0.382749326145553</v>
      </c>
      <c r="AB4" s="13" t="n">
        <f aca="false">IF(AB$3=0,0,(AB$3/100/rho_BN)/((AB$3/100/rho_BN)+((1-AB$3/100)/rho_PI)))</f>
        <v>0.401828471919896</v>
      </c>
      <c r="AC4" s="13" t="n">
        <f aca="false">IF(AC$3=0,0,(AC$3/100/rho_BN)/((AC$3/100/rho_BN)+((1-AC$3/100)/rho_PI)))</f>
        <v>0.421272387649709</v>
      </c>
      <c r="AD4" s="13" t="n">
        <f aca="false">IF(AD$3=0,0,(AD$3/100/rho_BN)/((AD$3/100/rho_BN)+((1-AD$3/100)/rho_PI)))</f>
        <v>0.44109163523408</v>
      </c>
      <c r="AE4" s="13" t="n">
        <f aca="false">IF(AE$3=0,0,(AE$3/100/rho_BN)/((AE$3/100/rho_BN)+((1-AE$3/100)/rho_PI)))</f>
        <v>0.461297188305142</v>
      </c>
      <c r="AF4" s="13" t="n">
        <f aca="false">IF(AF$3=0,0,(AF$3/100/rho_BN)/((AF$3/100/rho_BN)+((1-AF$3/100)/rho_PI)))</f>
        <v>0.481900452488688</v>
      </c>
      <c r="AG4" s="13" t="n">
        <f aca="false">IF(AG$3=0,0,(AG$3/100/rho_BN)/((AG$3/100/rho_BN)+((1-AG$3/100)/rho_PI)))</f>
        <v>0.502913286873072</v>
      </c>
      <c r="AH4" s="13" t="n">
        <f aca="false">IF(AH$3=0,0,(AH$3/100/rho_BN)/((AH$3/100/rho_BN)+((1-AH$3/100)/rho_PI)))</f>
        <v>0.52434802677129</v>
      </c>
      <c r="AI4" s="13" t="n">
        <f aca="false">IF(AI$3=0,0,(AI$3/100/rho_BN)/((AI$3/100/rho_BN)+((1-AI$3/100)/rho_PI)))</f>
        <v>0.54621750786805</v>
      </c>
      <c r="AJ4" s="13" t="n">
        <f aca="false">IF(AJ$3=0,0,(AJ$3/100/rho_BN)/((AJ$3/100/rho_BN)+((1-AJ$3/100)/rho_PI)))</f>
        <v>0.568535091851154</v>
      </c>
      <c r="AK4" s="13" t="n">
        <f aca="false">IF(AK$3=0,0,(AK$3/100/rho_BN)/((AK$3/100/rho_BN)+((1-AK$3/100)/rho_PI)))</f>
        <v>0.591314693634741</v>
      </c>
    </row>
    <row r="5" customFormat="false" ht="15" hidden="false" customHeight="false" outlineLevel="0" collapsed="false">
      <c r="A5" s="3" t="s">
        <v>133</v>
      </c>
      <c r="B5" s="13" t="n">
        <f aca="false">lam_PI*(1+A_BN_lam*((lam_BN_eff/lam_PI-1)/(lam_BN_eff/lam_PI+A_BN_lam))*B$4)/(1-((lam_BN_eff/lam_PI-1)/(lam_BN_eff/lam_PI+A_BN_lam))*(1+((1-phimax_BN_lam)/phimax_BN_lam^2)*B$4)*B$4)</f>
        <v>0.12</v>
      </c>
      <c r="C5" s="13" t="n">
        <f aca="false">lam_PI*(1+A_BN_lam*((lam_BN_eff/lam_PI-1)/(lam_BN_eff/lam_PI+A_BN_lam))*C$4)/(1-((lam_BN_eff/lam_PI-1)/(lam_BN_eff/lam_PI+A_BN_lam))*(1+((1-phimax_BN_lam)/phimax_BN_lam^2)*C$4)*C$4)</f>
        <v>0.128848678407641</v>
      </c>
      <c r="D5" s="13" t="n">
        <f aca="false">lam_PI*(1+A_BN_lam*((lam_BN_eff/lam_PI-1)/(lam_BN_eff/lam_PI+A_BN_lam))*D$4)/(1-((lam_BN_eff/lam_PI-1)/(lam_BN_eff/lam_PI+A_BN_lam))*(1+((1-phimax_BN_lam)/phimax_BN_lam^2)*D$4)*D$4)</f>
        <v>0.138089142943148</v>
      </c>
      <c r="E5" s="13" t="n">
        <f aca="false">lam_PI*(1+A_BN_lam*((lam_BN_eff/lam_PI-1)/(lam_BN_eff/lam_PI+A_BN_lam))*E$4)/(1-((lam_BN_eff/lam_PI-1)/(lam_BN_eff/lam_PI+A_BN_lam))*(1+((1-phimax_BN_lam)/phimax_BN_lam^2)*E$4)*E$4)</f>
        <v>0.147755660899927</v>
      </c>
      <c r="F5" s="13" t="n">
        <f aca="false">lam_PI*(1+A_BN_lam*((lam_BN_eff/lam_PI-1)/(lam_BN_eff/lam_PI+A_BN_lam))*F$4)/(1-((lam_BN_eff/lam_PI-1)/(lam_BN_eff/lam_PI+A_BN_lam))*(1+((1-phimax_BN_lam)/phimax_BN_lam^2)*F$4)*F$4)</f>
        <v>0.157886598781989</v>
      </c>
      <c r="G5" s="13" t="n">
        <f aca="false">lam_PI*(1+A_BN_lam*((lam_BN_eff/lam_PI-1)/(lam_BN_eff/lam_PI+A_BN_lam))*G$4)/(1-((lam_BN_eff/lam_PI-1)/(lam_BN_eff/lam_PI+A_BN_lam))*(1+((1-phimax_BN_lam)/phimax_BN_lam^2)*G$4)*G$4)</f>
        <v>0.168525054194957</v>
      </c>
      <c r="H5" s="13" t="n">
        <f aca="false">lam_PI*(1+A_BN_lam*((lam_BN_eff/lam_PI-1)/(lam_BN_eff/lam_PI+A_BN_lam))*H$4)/(1-((lam_BN_eff/lam_PI-1)/(lam_BN_eff/lam_PI+A_BN_lam))*(1+((1-phimax_BN_lam)/phimax_BN_lam^2)*H$4)*H$4)</f>
        <v>0.179719608341991</v>
      </c>
      <c r="I5" s="13" t="n">
        <f aca="false">lam_PI*(1+A_BN_lam*((lam_BN_eff/lam_PI-1)/(lam_BN_eff/lam_PI+A_BN_lam))*I$4)/(1-((lam_BN_eff/lam_PI-1)/(lam_BN_eff/lam_PI+A_BN_lam))*(1+((1-phimax_BN_lam)/phimax_BN_lam^2)*I$4)*I$4)</f>
        <v>0.191525226862557</v>
      </c>
      <c r="J5" s="13" t="n">
        <f aca="false">lam_PI*(1+A_BN_lam*((lam_BN_eff/lam_PI-1)/(lam_BN_eff/lam_PI+A_BN_lam))*J$4)/(1-((lam_BN_eff/lam_PI-1)/(lam_BN_eff/lam_PI+A_BN_lam))*(1+((1-phimax_BN_lam)/phimax_BN_lam^2)*J$4)*J$4)</f>
        <v>0.204004344290508</v>
      </c>
      <c r="K5" s="13" t="n">
        <f aca="false">lam_PI*(1+A_BN_lam*((lam_BN_eff/lam_PI-1)/(lam_BN_eff/lam_PI+A_BN_lam))*K$4)/(1-((lam_BN_eff/lam_PI-1)/(lam_BN_eff/lam_PI+A_BN_lam))*(1+((1-phimax_BN_lam)/phimax_BN_lam^2)*K$4)*K$4)</f>
        <v>0.217228177332298</v>
      </c>
      <c r="L5" s="13" t="n">
        <f aca="false">lam_PI*(1+A_BN_lam*((lam_BN_eff/lam_PI-1)/(lam_BN_eff/lam_PI+A_BN_lam))*L$4)/(1-((lam_BN_eff/lam_PI-1)/(lam_BN_eff/lam_PI+A_BN_lam))*(1+((1-phimax_BN_lam)/phimax_BN_lam^2)*L$4)*L$4)</f>
        <v>0.231278325346162</v>
      </c>
      <c r="M5" s="13" t="n">
        <f aca="false">lam_PI*(1+A_BN_lam*((lam_BN_eff/lam_PI-1)/(lam_BN_eff/lam_PI+A_BN_lam))*M$4)/(1-((lam_BN_eff/lam_PI-1)/(lam_BN_eff/lam_PI+A_BN_lam))*(1+((1-phimax_BN_lam)/phimax_BN_lam^2)*M$4)*M$4)</f>
        <v>0.246248734070092</v>
      </c>
      <c r="N5" s="13" t="n">
        <f aca="false">lam_PI*(1+A_BN_lam*((lam_BN_eff/lam_PI-1)/(lam_BN_eff/lam_PI+A_BN_lam))*N$4)/(1-((lam_BN_eff/lam_PI-1)/(lam_BN_eff/lam_PI+A_BN_lam))*(1+((1-phimax_BN_lam)/phimax_BN_lam^2)*N$4)*N$4)</f>
        <v>0.262248122564537</v>
      </c>
      <c r="O5" s="13" t="n">
        <f aca="false">lam_PI*(1+A_BN_lam*((lam_BN_eff/lam_PI-1)/(lam_BN_eff/lam_PI+A_BN_lam))*O$4)/(1-((lam_BN_eff/lam_PI-1)/(lam_BN_eff/lam_PI+A_BN_lam))*(1+((1-phimax_BN_lam)/phimax_BN_lam^2)*O$4)*O$4)</f>
        <v>0.279403006063077</v>
      </c>
      <c r="P5" s="13" t="n">
        <f aca="false">lam_PI*(1+A_BN_lam*((lam_BN_eff/lam_PI-1)/(lam_BN_eff/lam_PI+A_BN_lam))*P$4)/(1-((lam_BN_eff/lam_PI-1)/(lam_BN_eff/lam_PI+A_BN_lam))*(1+((1-phimax_BN_lam)/phimax_BN_lam^2)*P$4)*P$4)</f>
        <v>0.297861492719677</v>
      </c>
      <c r="Q5" s="13" t="n">
        <f aca="false">lam_PI*(1+A_BN_lam*((lam_BN_eff/lam_PI-1)/(lam_BN_eff/lam_PI+A_BN_lam))*Q$4)/(1-((lam_BN_eff/lam_PI-1)/(lam_BN_eff/lam_PI+A_BN_lam))*(1+((1-phimax_BN_lam)/phimax_BN_lam^2)*Q$4)*Q$4)</f>
        <v>0.317798095706273</v>
      </c>
      <c r="R5" s="13" t="n">
        <f aca="false">lam_PI*(1+A_BN_lam*((lam_BN_eff/lam_PI-1)/(lam_BN_eff/lam_PI+A_BN_lam))*R$4)/(1-((lam_BN_eff/lam_PI-1)/(lam_BN_eff/lam_PI+A_BN_lam))*(1+((1-phimax_BN_lam)/phimax_BN_lam^2)*R$4)*R$4)</f>
        <v>0.339419892225584</v>
      </c>
      <c r="S5" s="13" t="n">
        <f aca="false">lam_PI*(1+A_BN_lam*((lam_BN_eff/lam_PI-1)/(lam_BN_eff/lam_PI+A_BN_lam))*S$4)/(1-((lam_BN_eff/lam_PI-1)/(lam_BN_eff/lam_PI+A_BN_lam))*(1+((1-phimax_BN_lam)/phimax_BN_lam^2)*S$4)*S$4)</f>
        <v>0.36297449079991</v>
      </c>
      <c r="T5" s="13" t="n">
        <f aca="false">lam_PI*(1+A_BN_lam*((lam_BN_eff/lam_PI-1)/(lam_BN_eff/lam_PI+A_BN_lam))*T$4)/(1-((lam_BN_eff/lam_PI-1)/(lam_BN_eff/lam_PI+A_BN_lam))*(1+((1-phimax_BN_lam)/phimax_BN_lam^2)*T$4)*T$4)</f>
        <v>0.388760458095359</v>
      </c>
      <c r="U5" s="13" t="n">
        <f aca="false">lam_PI*(1+A_BN_lam*((lam_BN_eff/lam_PI-1)/(lam_BN_eff/lam_PI+A_BN_lam))*U$4)/(1-((lam_BN_eff/lam_PI-1)/(lam_BN_eff/lam_PI+A_BN_lam))*(1+((1-phimax_BN_lam)/phimax_BN_lam^2)*U$4)*U$4)</f>
        <v>0.417141139143032</v>
      </c>
      <c r="V5" s="13" t="n">
        <f aca="false">lam_PI*(1+A_BN_lam*((lam_BN_eff/lam_PI-1)/(lam_BN_eff/lam_PI+A_BN_lam))*V$4)/(1-((lam_BN_eff/lam_PI-1)/(lam_BN_eff/lam_PI+A_BN_lam))*(1+((1-phimax_BN_lam)/phimax_BN_lam^2)*V$4)*V$4)</f>
        <v>0.448563233291791</v>
      </c>
      <c r="W5" s="13" t="n">
        <f aca="false">lam_PI*(1+A_BN_lam*((lam_BN_eff/lam_PI-1)/(lam_BN_eff/lam_PI+A_BN_lam))*W$4)/(1-((lam_BN_eff/lam_PI-1)/(lam_BN_eff/lam_PI+A_BN_lam))*(1+((1-phimax_BN_lam)/phimax_BN_lam^2)*W$4)*W$4)</f>
        <v>0.483582151321847</v>
      </c>
      <c r="X5" s="13" t="n">
        <f aca="false">lam_PI*(1+A_BN_lam*((lam_BN_eff/lam_PI-1)/(lam_BN_eff/lam_PI+A_BN_lam))*X$4)/(1-((lam_BN_eff/lam_PI-1)/(lam_BN_eff/lam_PI+A_BN_lam))*(1+((1-phimax_BN_lam)/phimax_BN_lam^2)*X$4)*X$4)</f>
        <v>0.522897228859908</v>
      </c>
      <c r="Y5" s="13" t="n">
        <f aca="false">lam_PI*(1+A_BN_lam*((lam_BN_eff/lam_PI-1)/(lam_BN_eff/lam_PI+A_BN_lam))*Y$4)/(1-((lam_BN_eff/lam_PI-1)/(lam_BN_eff/lam_PI+A_BN_lam))*(1+((1-phimax_BN_lam)/phimax_BN_lam^2)*Y$4)*Y$4)</f>
        <v>0.56740157537811</v>
      </c>
      <c r="Z5" s="13" t="n">
        <f aca="false">lam_PI*(1+A_BN_lam*((lam_BN_eff/lam_PI-1)/(lam_BN_eff/lam_PI+A_BN_lam))*Z$4)/(1-((lam_BN_eff/lam_PI-1)/(lam_BN_eff/lam_PI+A_BN_lam))*(1+((1-phimax_BN_lam)/phimax_BN_lam^2)*Z$4)*Z$4)</f>
        <v>0.61825418369929</v>
      </c>
      <c r="AA5" s="13" t="n">
        <f aca="false">lam_PI*(1+A_BN_lam*((lam_BN_eff/lam_PI-1)/(lam_BN_eff/lam_PI+A_BN_lam))*AA$4)/(1-((lam_BN_eff/lam_PI-1)/(lam_BN_eff/lam_PI+A_BN_lam))*(1+((1-phimax_BN_lam)/phimax_BN_lam^2)*AA$4)*AA$4)</f>
        <v>0.6769868299631</v>
      </c>
      <c r="AB5" s="13" t="n">
        <f aca="false">lam_PI*(1+A_BN_lam*((lam_BN_eff/lam_PI-1)/(lam_BN_eff/lam_PI+A_BN_lam))*AB$4)/(1-((lam_BN_eff/lam_PI-1)/(lam_BN_eff/lam_PI+A_BN_lam))*(1+((1-phimax_BN_lam)/phimax_BN_lam^2)*AB$4)*AB$4)</f>
        <v>0.74566705921515</v>
      </c>
      <c r="AC5" s="13" t="n">
        <f aca="false">lam_PI*(1+A_BN_lam*((lam_BN_eff/lam_PI-1)/(lam_BN_eff/lam_PI+A_BN_lam))*AC$4)/(1-((lam_BN_eff/lam_PI-1)/(lam_BN_eff/lam_PI+A_BN_lam))*(1+((1-phimax_BN_lam)/phimax_BN_lam^2)*AC$4)*AC$4)</f>
        <v>0.827154876039274</v>
      </c>
      <c r="AD5" s="13" t="n">
        <f aca="false">lam_PI*(1+A_BN_lam*((lam_BN_eff/lam_PI-1)/(lam_BN_eff/lam_PI+A_BN_lam))*AD$4)/(1-((lam_BN_eff/lam_PI-1)/(lam_BN_eff/lam_PI+A_BN_lam))*(1+((1-phimax_BN_lam)/phimax_BN_lam^2)*AD$4)*AD$4)</f>
        <v>0.925522653754129</v>
      </c>
      <c r="AE5" s="13" t="n">
        <f aca="false">lam_PI*(1+A_BN_lam*((lam_BN_eff/lam_PI-1)/(lam_BN_eff/lam_PI+A_BN_lam))*AE$4)/(1-((lam_BN_eff/lam_PI-1)/(lam_BN_eff/lam_PI+A_BN_lam))*(1+((1-phimax_BN_lam)/phimax_BN_lam^2)*AE$4)*AE$4)</f>
        <v>1.04677369588848</v>
      </c>
      <c r="AF5" s="13" t="n">
        <f aca="false">lam_PI*(1+A_BN_lam*((lam_BN_eff/lam_PI-1)/(lam_BN_eff/lam_PI+A_BN_lam))*AF$4)/(1-((lam_BN_eff/lam_PI-1)/(lam_BN_eff/lam_PI+A_BN_lam))*(1+((1-phimax_BN_lam)/phimax_BN_lam^2)*AF$4)*AF$4)</f>
        <v>1.2001405880248</v>
      </c>
      <c r="AG5" s="13" t="n">
        <f aca="false">lam_PI*(1+A_BN_lam*((lam_BN_eff/lam_PI-1)/(lam_BN_eff/lam_PI+A_BN_lam))*AG$4)/(1-((lam_BN_eff/lam_PI-1)/(lam_BN_eff/lam_PI+A_BN_lam))*(1+((1-phimax_BN_lam)/phimax_BN_lam^2)*AG$4)*AG$4)</f>
        <v>1.40059393055321</v>
      </c>
      <c r="AH5" s="13" t="n">
        <f aca="false">lam_PI*(1+A_BN_lam*((lam_BN_eff/lam_PI-1)/(lam_BN_eff/lam_PI+A_BN_lam))*AH$4)/(1-((lam_BN_eff/lam_PI-1)/(lam_BN_eff/lam_PI+A_BN_lam))*(1+((1-phimax_BN_lam)/phimax_BN_lam^2)*AH$4)*AH$4)</f>
        <v>1.67412005024178</v>
      </c>
      <c r="AI5" s="13" t="n">
        <f aca="false">lam_PI*(1+A_BN_lam*((lam_BN_eff/lam_PI-1)/(lam_BN_eff/lam_PI+A_BN_lam))*AI$4)/(1-((lam_BN_eff/lam_PI-1)/(lam_BN_eff/lam_PI+A_BN_lam))*(1+((1-phimax_BN_lam)/phimax_BN_lam^2)*AI$4)*AI$4)</f>
        <v>2.07013705321273</v>
      </c>
      <c r="AJ5" s="13" t="n">
        <f aca="false">lam_PI*(1+A_BN_lam*((lam_BN_eff/lam_PI-1)/(lam_BN_eff/lam_PI+A_BN_lam))*AJ$4)/(1-((lam_BN_eff/lam_PI-1)/(lam_BN_eff/lam_PI+A_BN_lam))*(1+((1-phimax_BN_lam)/phimax_BN_lam^2)*AJ$4)*AJ$4)</f>
        <v>2.69559147605126</v>
      </c>
      <c r="AK5" s="13" t="n">
        <f aca="false">lam_PI*(1+A_BN_lam*((lam_BN_eff/lam_PI-1)/(lam_BN_eff/lam_PI+A_BN_lam))*AK$4)/(1-((lam_BN_eff/lam_PI-1)/(lam_BN_eff/lam_PI+A_BN_lam))*(1+((1-phimax_BN_lam)/phimax_BN_lam^2)*AK$4)*AK$4)</f>
        <v>3.83303400158108</v>
      </c>
    </row>
    <row r="6" customFormat="false" ht="15" hidden="false" customHeight="false" outlineLevel="0" collapsed="false">
      <c r="A6" s="3" t="s">
        <v>134</v>
      </c>
      <c r="B6" s="13" t="n">
        <f aca="false">(lam_air/B$5-1)/(lam_air/B$5+A_pore)</f>
        <v>-2.64044943820225</v>
      </c>
      <c r="C6" s="13" t="n">
        <f aca="false">(lam_air/C$5-1)/(lam_air/C$5+A_pore)</f>
        <v>-2.83268089400669</v>
      </c>
      <c r="D6" s="13" t="n">
        <f aca="false">(lam_air/D$5-1)/(lam_air/D$5+A_pore)</f>
        <v>-3.02558224078547</v>
      </c>
      <c r="E6" s="13" t="n">
        <f aca="false">(lam_air/E$5-1)/(lam_air/E$5+A_pore)</f>
        <v>-3.21930732326282</v>
      </c>
      <c r="F6" s="13" t="n">
        <f aca="false">(lam_air/F$5-1)/(lam_air/F$5+A_pore)</f>
        <v>-3.41401581434061</v>
      </c>
      <c r="G6" s="13" t="n">
        <f aca="false">(lam_air/G$5-1)/(lam_air/G$5+A_pore)</f>
        <v>-3.60987382969456</v>
      </c>
      <c r="H6" s="13" t="n">
        <f aca="false">(lam_air/H$5-1)/(lam_air/H$5+A_pore)</f>
        <v>-3.80705459529701</v>
      </c>
      <c r="I6" s="13" t="n">
        <f aca="false">(lam_air/I$5-1)/(lam_air/I$5+A_pore)</f>
        <v>-4.00573917434728</v>
      </c>
      <c r="J6" s="13" t="n">
        <f aca="false">(lam_air/J$5-1)/(lam_air/J$5+A_pore)</f>
        <v>-4.20611726093773</v>
      </c>
      <c r="K6" s="13" t="n">
        <f aca="false">(lam_air/K$5-1)/(lam_air/K$5+A_pore)</f>
        <v>-4.40838804876204</v>
      </c>
      <c r="L6" s="13" t="n">
        <f aca="false">(lam_air/L$5-1)/(lam_air/L$5+A_pore)</f>
        <v>-4.61276118430511</v>
      </c>
      <c r="M6" s="13" t="n">
        <f aca="false">(lam_air/M$5-1)/(lam_air/M$5+A_pore)</f>
        <v>-4.81945781526816</v>
      </c>
      <c r="N6" s="13" t="n">
        <f aca="false">(lam_air/N$5-1)/(lam_air/N$5+A_pore)</f>
        <v>-5.02871174651082</v>
      </c>
      <c r="O6" s="13" t="n">
        <f aca="false">(lam_air/O$5-1)/(lam_air/O$5+A_pore)</f>
        <v>-5.24077071757299</v>
      </c>
      <c r="P6" s="13" t="n">
        <f aca="false">(lam_air/P$5-1)/(lam_air/P$5+A_pore)</f>
        <v>-5.45589781792045</v>
      </c>
      <c r="Q6" s="13" t="n">
        <f aca="false">(lam_air/Q$5-1)/(lam_air/Q$5+A_pore)</f>
        <v>-5.67437305849632</v>
      </c>
      <c r="R6" s="13" t="n">
        <f aca="false">(lam_air/R$5-1)/(lam_air/R$5+A_pore)</f>
        <v>-5.89649512102453</v>
      </c>
      <c r="S6" s="13" t="n">
        <f aca="false">(lam_air/S$5-1)/(lam_air/S$5+A_pore)</f>
        <v>-6.12258330988604</v>
      </c>
      <c r="T6" s="13" t="n">
        <f aca="false">(lam_air/T$5-1)/(lam_air/T$5+A_pore)</f>
        <v>-6.35297973537527</v>
      </c>
      <c r="U6" s="13" t="n">
        <f aca="false">(lam_air/U$5-1)/(lam_air/U$5+A_pore)</f>
        <v>-6.58805176187059</v>
      </c>
      <c r="V6" s="13" t="n">
        <f aca="false">(lam_air/V$5-1)/(lam_air/V$5+A_pore)</f>
        <v>-6.82819476007203</v>
      </c>
      <c r="W6" s="13" t="n">
        <f aca="false">(lam_air/W$5-1)/(lam_air/W$5+A_pore)</f>
        <v>-7.07383520916528</v>
      </c>
      <c r="X6" s="13" t="n">
        <f aca="false">(lam_air/X$5-1)/(lam_air/X$5+A_pore)</f>
        <v>-7.32543420279899</v>
      </c>
      <c r="Y6" s="13" t="n">
        <f aca="false">(lam_air/Y$5-1)/(lam_air/Y$5+A_pore)</f>
        <v>-7.58349142241146</v>
      </c>
      <c r="Z6" s="13" t="n">
        <f aca="false">(lam_air/Z$5-1)/(lam_air/Z$5+A_pore)</f>
        <v>-7.84854965308191</v>
      </c>
      <c r="AA6" s="13" t="n">
        <f aca="false">(lam_air/AA$5-1)/(lam_air/AA$5+A_pore)</f>
        <v>-8.12119993117916</v>
      </c>
      <c r="AB6" s="13" t="n">
        <f aca="false">(lam_air/AB$5-1)/(lam_air/AB$5+A_pore)</f>
        <v>-8.40208743022668</v>
      </c>
      <c r="AC6" s="13" t="n">
        <f aca="false">(lam_air/AC$5-1)/(lam_air/AC$5+A_pore)</f>
        <v>-8.69191821234766</v>
      </c>
      <c r="AD6" s="13" t="n">
        <f aca="false">(lam_air/AD$5-1)/(lam_air/AD$5+A_pore)</f>
        <v>-8.99146699835584</v>
      </c>
      <c r="AE6" s="13" t="n">
        <f aca="false">(lam_air/AE$5-1)/(lam_air/AE$5+A_pore)</f>
        <v>-9.30158614124885</v>
      </c>
      <c r="AF6" s="13" t="n">
        <f aca="false">(lam_air/AF$5-1)/(lam_air/AF$5+A_pore)</f>
        <v>-9.62321602713215</v>
      </c>
      <c r="AG6" s="13" t="n">
        <f aca="false">(lam_air/AG$5-1)/(lam_air/AG$5+A_pore)</f>
        <v>-9.95739717652263</v>
      </c>
      <c r="AH6" s="13" t="n">
        <f aca="false">(lam_air/AH$5-1)/(lam_air/AH$5+A_pore)</f>
        <v>-10.3052843802605</v>
      </c>
      <c r="AI6" s="13" t="n">
        <f aca="false">(lam_air/AI$5-1)/(lam_air/AI$5+A_pore)</f>
        <v>-10.6681632814645</v>
      </c>
      <c r="AJ6" s="13" t="n">
        <f aca="false">(lam_air/AJ$5-1)/(lam_air/AJ$5+A_pore)</f>
        <v>-11.0474699128345</v>
      </c>
      <c r="AK6" s="13" t="n">
        <f aca="false">(lam_air/AK$5-1)/(lam_air/AK$5+A_pore)</f>
        <v>-11.4448138234724</v>
      </c>
    </row>
    <row r="8" customFormat="false" ht="15" hidden="false" customHeight="false" outlineLevel="0" collapsed="false">
      <c r="A8" s="14" t="s">
        <v>135</v>
      </c>
      <c r="B8" s="14" t="n">
        <f aca="false">B$3</f>
        <v>0</v>
      </c>
      <c r="C8" s="14" t="n">
        <f aca="false">C$3</f>
        <v>2</v>
      </c>
      <c r="D8" s="14" t="n">
        <f aca="false">D$3</f>
        <v>4</v>
      </c>
      <c r="E8" s="14" t="n">
        <f aca="false">E$3</f>
        <v>6</v>
      </c>
      <c r="F8" s="14" t="n">
        <f aca="false">F$3</f>
        <v>8</v>
      </c>
      <c r="G8" s="14" t="n">
        <f aca="false">G$3</f>
        <v>10</v>
      </c>
      <c r="H8" s="14" t="n">
        <f aca="false">H$3</f>
        <v>12</v>
      </c>
      <c r="I8" s="14" t="n">
        <f aca="false">I$3</f>
        <v>14</v>
      </c>
      <c r="J8" s="14" t="n">
        <f aca="false">J$3</f>
        <v>16</v>
      </c>
      <c r="K8" s="14" t="n">
        <f aca="false">K$3</f>
        <v>18</v>
      </c>
      <c r="L8" s="14" t="n">
        <f aca="false">L$3</f>
        <v>20</v>
      </c>
      <c r="M8" s="14" t="n">
        <f aca="false">M$3</f>
        <v>22</v>
      </c>
      <c r="N8" s="14" t="n">
        <f aca="false">N$3</f>
        <v>24</v>
      </c>
      <c r="O8" s="14" t="n">
        <f aca="false">O$3</f>
        <v>26</v>
      </c>
      <c r="P8" s="14" t="n">
        <f aca="false">P$3</f>
        <v>28</v>
      </c>
      <c r="Q8" s="14" t="n">
        <f aca="false">Q$3</f>
        <v>30</v>
      </c>
      <c r="R8" s="14" t="n">
        <f aca="false">R$3</f>
        <v>32</v>
      </c>
      <c r="S8" s="14" t="n">
        <f aca="false">S$3</f>
        <v>34</v>
      </c>
      <c r="T8" s="14" t="n">
        <f aca="false">T$3</f>
        <v>36</v>
      </c>
      <c r="U8" s="14" t="n">
        <f aca="false">U$3</f>
        <v>38</v>
      </c>
      <c r="V8" s="14" t="n">
        <f aca="false">V$3</f>
        <v>40</v>
      </c>
      <c r="W8" s="14" t="n">
        <f aca="false">W$3</f>
        <v>42</v>
      </c>
      <c r="X8" s="14" t="n">
        <f aca="false">X$3</f>
        <v>44</v>
      </c>
      <c r="Y8" s="14" t="n">
        <f aca="false">Y$3</f>
        <v>46</v>
      </c>
      <c r="Z8" s="14" t="n">
        <f aca="false">Z$3</f>
        <v>48</v>
      </c>
      <c r="AA8" s="14" t="n">
        <f aca="false">AA$3</f>
        <v>50</v>
      </c>
      <c r="AB8" s="14" t="n">
        <f aca="false">AB$3</f>
        <v>52</v>
      </c>
      <c r="AC8" s="14" t="n">
        <f aca="false">AC$3</f>
        <v>54</v>
      </c>
      <c r="AD8" s="14" t="n">
        <f aca="false">AD$3</f>
        <v>56</v>
      </c>
      <c r="AE8" s="14" t="n">
        <f aca="false">AE$3</f>
        <v>58</v>
      </c>
      <c r="AF8" s="14" t="n">
        <f aca="false">AF$3</f>
        <v>60</v>
      </c>
      <c r="AG8" s="14" t="n">
        <f aca="false">AG$3</f>
        <v>62</v>
      </c>
      <c r="AH8" s="14" t="n">
        <f aca="false">AH$3</f>
        <v>64</v>
      </c>
      <c r="AI8" s="14" t="n">
        <f aca="false">AI$3</f>
        <v>66</v>
      </c>
      <c r="AJ8" s="14" t="n">
        <f aca="false">AJ$3</f>
        <v>68</v>
      </c>
      <c r="AK8" s="14" t="n">
        <f aca="false">AK$3</f>
        <v>70</v>
      </c>
      <c r="AN8" s="3" t="s">
        <v>136</v>
      </c>
    </row>
    <row r="9" customFormat="false" ht="23.85" hidden="false" customHeight="false" outlineLevel="0" collapsed="false">
      <c r="A9" s="4" t="n">
        <v>0</v>
      </c>
      <c r="B9" s="9" t="n">
        <f aca="false">B$5*(1+A_pore*B$6*($A9/100))/(1-B$6*(1+((1-phimax_pore)/phimax_pore^2)*($A9/100))*($A9/100))</f>
        <v>0.12</v>
      </c>
      <c r="C9" s="9" t="n">
        <f aca="false">C$5*(1+A_pore*C$6*($A9/100))/(1-C$6*(1+((1-phimax_pore)/phimax_pore^2)*($A9/100))*($A9/100))</f>
        <v>0.128848678407641</v>
      </c>
      <c r="D9" s="9" t="n">
        <f aca="false">D$5*(1+A_pore*D$6*($A9/100))/(1-D$6*(1+((1-phimax_pore)/phimax_pore^2)*($A9/100))*($A9/100))</f>
        <v>0.138089142943148</v>
      </c>
      <c r="E9" s="9" t="n">
        <f aca="false">E$5*(1+A_pore*E$6*($A9/100))/(1-E$6*(1+((1-phimax_pore)/phimax_pore^2)*($A9/100))*($A9/100))</f>
        <v>0.147755660899927</v>
      </c>
      <c r="F9" s="9" t="n">
        <f aca="false">F$5*(1+A_pore*F$6*($A9/100))/(1-F$6*(1+((1-phimax_pore)/phimax_pore^2)*($A9/100))*($A9/100))</f>
        <v>0.157886598781989</v>
      </c>
      <c r="G9" s="9" t="n">
        <f aca="false">G$5*(1+A_pore*G$6*($A9/100))/(1-G$6*(1+((1-phimax_pore)/phimax_pore^2)*($A9/100))*($A9/100))</f>
        <v>0.168525054194957</v>
      </c>
      <c r="H9" s="9" t="n">
        <f aca="false">H$5*(1+A_pore*H$6*($A9/100))/(1-H$6*(1+((1-phimax_pore)/phimax_pore^2)*($A9/100))*($A9/100))</f>
        <v>0.179719608341991</v>
      </c>
      <c r="I9" s="9" t="n">
        <f aca="false">I$5*(1+A_pore*I$6*($A9/100))/(1-I$6*(1+((1-phimax_pore)/phimax_pore^2)*($A9/100))*($A9/100))</f>
        <v>0.191525226862557</v>
      </c>
      <c r="J9" s="9" t="n">
        <f aca="false">J$5*(1+A_pore*J$6*($A9/100))/(1-J$6*(1+((1-phimax_pore)/phimax_pore^2)*($A9/100))*($A9/100))</f>
        <v>0.204004344290508</v>
      </c>
      <c r="K9" s="9" t="n">
        <f aca="false">K$5*(1+A_pore*K$6*($A9/100))/(1-K$6*(1+((1-phimax_pore)/phimax_pore^2)*($A9/100))*($A9/100))</f>
        <v>0.217228177332298</v>
      </c>
      <c r="L9" s="9" t="n">
        <f aca="false">L$5*(1+A_pore*L$6*($A9/100))/(1-L$6*(1+((1-phimax_pore)/phimax_pore^2)*($A9/100))*($A9/100))</f>
        <v>0.231278325346162</v>
      </c>
      <c r="M9" s="9" t="n">
        <f aca="false">M$5*(1+A_pore*M$6*($A9/100))/(1-M$6*(1+((1-phimax_pore)/phimax_pore^2)*($A9/100))*($A9/100))</f>
        <v>0.246248734070092</v>
      </c>
      <c r="N9" s="9" t="n">
        <f aca="false">N$5*(1+A_pore*N$6*($A9/100))/(1-N$6*(1+((1-phimax_pore)/phimax_pore^2)*($A9/100))*($A9/100))</f>
        <v>0.262248122564537</v>
      </c>
      <c r="O9" s="9" t="n">
        <f aca="false">O$5*(1+A_pore*O$6*($A9/100))/(1-O$6*(1+((1-phimax_pore)/phimax_pore^2)*($A9/100))*($A9/100))</f>
        <v>0.279403006063077</v>
      </c>
      <c r="P9" s="9" t="n">
        <f aca="false">P$5*(1+A_pore*P$6*($A9/100))/(1-P$6*(1+((1-phimax_pore)/phimax_pore^2)*($A9/100))*($A9/100))</f>
        <v>0.297861492719677</v>
      </c>
      <c r="Q9" s="9" t="n">
        <f aca="false">Q$5*(1+A_pore*Q$6*($A9/100))/(1-Q$6*(1+((1-phimax_pore)/phimax_pore^2)*($A9/100))*($A9/100))</f>
        <v>0.317798095706273</v>
      </c>
      <c r="R9" s="9" t="n">
        <f aca="false">R$5*(1+A_pore*R$6*($A9/100))/(1-R$6*(1+((1-phimax_pore)/phimax_pore^2)*($A9/100))*($A9/100))</f>
        <v>0.339419892225584</v>
      </c>
      <c r="S9" s="9" t="n">
        <f aca="false">S$5*(1+A_pore*S$6*($A9/100))/(1-S$6*(1+((1-phimax_pore)/phimax_pore^2)*($A9/100))*($A9/100))</f>
        <v>0.36297449079991</v>
      </c>
      <c r="T9" s="9" t="n">
        <f aca="false">T$5*(1+A_pore*T$6*($A9/100))/(1-T$6*(1+((1-phimax_pore)/phimax_pore^2)*($A9/100))*($A9/100))</f>
        <v>0.388760458095359</v>
      </c>
      <c r="U9" s="9" t="n">
        <f aca="false">U$5*(1+A_pore*U$6*($A9/100))/(1-U$6*(1+((1-phimax_pore)/phimax_pore^2)*($A9/100))*($A9/100))</f>
        <v>0.417141139143032</v>
      </c>
      <c r="V9" s="9" t="n">
        <f aca="false">V$5*(1+A_pore*V$6*($A9/100))/(1-V$6*(1+((1-phimax_pore)/phimax_pore^2)*($A9/100))*($A9/100))</f>
        <v>0.448563233291791</v>
      </c>
      <c r="W9" s="9" t="n">
        <f aca="false">W$5*(1+A_pore*W$6*($A9/100))/(1-W$6*(1+((1-phimax_pore)/phimax_pore^2)*($A9/100))*($A9/100))</f>
        <v>0.483582151321847</v>
      </c>
      <c r="X9" s="9" t="n">
        <f aca="false">X$5*(1+A_pore*X$6*($A9/100))/(1-X$6*(1+((1-phimax_pore)/phimax_pore^2)*($A9/100))*($A9/100))</f>
        <v>0.522897228859908</v>
      </c>
      <c r="Y9" s="9" t="n">
        <f aca="false">Y$5*(1+A_pore*Y$6*($A9/100))/(1-Y$6*(1+((1-phimax_pore)/phimax_pore^2)*($A9/100))*($A9/100))</f>
        <v>0.56740157537811</v>
      </c>
      <c r="Z9" s="9" t="n">
        <f aca="false">Z$5*(1+A_pore*Z$6*($A9/100))/(1-Z$6*(1+((1-phimax_pore)/phimax_pore^2)*($A9/100))*($A9/100))</f>
        <v>0.61825418369929</v>
      </c>
      <c r="AA9" s="9" t="n">
        <f aca="false">AA$5*(1+A_pore*AA$6*($A9/100))/(1-AA$6*(1+((1-phimax_pore)/phimax_pore^2)*($A9/100))*($A9/100))</f>
        <v>0.6769868299631</v>
      </c>
      <c r="AB9" s="9" t="n">
        <f aca="false">AB$5*(1+A_pore*AB$6*($A9/100))/(1-AB$6*(1+((1-phimax_pore)/phimax_pore^2)*($A9/100))*($A9/100))</f>
        <v>0.74566705921515</v>
      </c>
      <c r="AC9" s="9" t="n">
        <f aca="false">AC$5*(1+A_pore*AC$6*($A9/100))/(1-AC$6*(1+((1-phimax_pore)/phimax_pore^2)*($A9/100))*($A9/100))</f>
        <v>0.827154876039274</v>
      </c>
      <c r="AD9" s="9" t="n">
        <f aca="false">AD$5*(1+A_pore*AD$6*($A9/100))/(1-AD$6*(1+((1-phimax_pore)/phimax_pore^2)*($A9/100))*($A9/100))</f>
        <v>0.925522653754129</v>
      </c>
      <c r="AE9" s="9" t="n">
        <f aca="false">AE$5*(1+A_pore*AE$6*($A9/100))/(1-AE$6*(1+((1-phimax_pore)/phimax_pore^2)*($A9/100))*($A9/100))</f>
        <v>1.04677369588848</v>
      </c>
      <c r="AF9" s="9" t="n">
        <f aca="false">AF$5*(1+A_pore*AF$6*($A9/100))/(1-AF$6*(1+((1-phimax_pore)/phimax_pore^2)*($A9/100))*($A9/100))</f>
        <v>1.2001405880248</v>
      </c>
      <c r="AG9" s="9" t="n">
        <f aca="false">AG$5*(1+A_pore*AG$6*($A9/100))/(1-AG$6*(1+((1-phimax_pore)/phimax_pore^2)*($A9/100))*($A9/100))</f>
        <v>1.40059393055321</v>
      </c>
      <c r="AH9" s="9" t="n">
        <f aca="false">AH$5*(1+A_pore*AH$6*($A9/100))/(1-AH$6*(1+((1-phimax_pore)/phimax_pore^2)*($A9/100))*($A9/100))</f>
        <v>1.67412005024178</v>
      </c>
      <c r="AI9" s="9" t="n">
        <f aca="false">AI$5*(1+A_pore*AI$6*($A9/100))/(1-AI$6*(1+((1-phimax_pore)/phimax_pore^2)*($A9/100))*($A9/100))</f>
        <v>2.07013705321273</v>
      </c>
      <c r="AJ9" s="9" t="n">
        <f aca="false">AJ$5*(1+A_pore*AJ$6*($A9/100))/(1-AJ$6*(1+((1-phimax_pore)/phimax_pore^2)*($A9/100))*($A9/100))</f>
        <v>2.69559147605126</v>
      </c>
      <c r="AK9" s="9" t="n">
        <f aca="false">AK$5*(1+A_pore*AK$6*($A9/100))/(1-AK$6*(1+((1-phimax_pore)/phimax_pore^2)*($A9/100))*($A9/100))</f>
        <v>3.83303400158108</v>
      </c>
      <c r="AN9" s="5" t="s">
        <v>60</v>
      </c>
      <c r="AO9" s="5" t="s">
        <v>137</v>
      </c>
      <c r="AP9" s="5" t="s">
        <v>138</v>
      </c>
      <c r="AQ9" s="5" t="s">
        <v>139</v>
      </c>
      <c r="AR9" s="5" t="s">
        <v>140</v>
      </c>
    </row>
    <row r="10" customFormat="false" ht="15" hidden="false" customHeight="false" outlineLevel="0" collapsed="false">
      <c r="A10" s="4" t="n">
        <v>1</v>
      </c>
      <c r="B10" s="9" t="n">
        <f aca="false">B$5*(1+A_pore*B$6*($A10/100))/(1-B$6*(1+((1-phimax_pore)/phimax_pore^2)*($A10/100))*($A10/100))</f>
        <v>0.116665703633222</v>
      </c>
      <c r="C10" s="9" t="n">
        <f aca="false">C$5*(1+A_pore*C$6*($A10/100))/(1-C$6*(1+((1-phimax_pore)/phimax_pore^2)*($A10/100))*($A10/100))</f>
        <v>0.125015049904751</v>
      </c>
      <c r="D10" s="9" t="n">
        <f aca="false">D$5*(1+A_pore*D$6*($A10/100))/(1-D$6*(1+((1-phimax_pore)/phimax_pore^2)*($A10/100))*($A10/100))</f>
        <v>0.13370901395422</v>
      </c>
      <c r="E10" s="9" t="n">
        <f aca="false">E$5*(1+A_pore*E$6*($A10/100))/(1-E$6*(1+((1-phimax_pore)/phimax_pore^2)*($A10/100))*($A10/100))</f>
        <v>0.142778186598242</v>
      </c>
      <c r="F10" s="9" t="n">
        <f aca="false">F$5*(1+A_pore*F$6*($A10/100))/(1-F$6*(1+((1-phimax_pore)/phimax_pore^2)*($A10/100))*($A10/100))</f>
        <v>0.152256776129211</v>
      </c>
      <c r="G10" s="9" t="n">
        <f aca="false">G$5*(1+A_pore*G$6*($A10/100))/(1-G$6*(1+((1-phimax_pore)/phimax_pore^2)*($A10/100))*($A10/100))</f>
        <v>0.162183165840877</v>
      </c>
      <c r="H10" s="9" t="n">
        <f aca="false">H$5*(1+A_pore*H$6*($A10/100))/(1-H$6*(1+((1-phimax_pore)/phimax_pore^2)*($A10/100))*($A10/100))</f>
        <v>0.172600577783713</v>
      </c>
      <c r="I10" s="9" t="n">
        <f aca="false">I$5*(1+A_pore*I$6*($A10/100))/(1-I$6*(1+((1-phimax_pore)/phimax_pore^2)*($A10/100))*($A10/100))</f>
        <v>0.183557867172148</v>
      </c>
      <c r="J10" s="9" t="n">
        <f aca="false">J$5*(1+A_pore*J$6*($A10/100))/(1-J$6*(1+((1-phimax_pore)/phimax_pore^2)*($A10/100))*($A10/100))</f>
        <v>0.19511047850109</v>
      </c>
      <c r="K10" s="9" t="n">
        <f aca="false">K$5*(1+A_pore*K$6*($A10/100))/(1-K$6*(1+((1-phimax_pore)/phimax_pore^2)*($A10/100))*($A10/100))</f>
        <v>0.207321603164213</v>
      </c>
      <c r="L10" s="9" t="n">
        <f aca="false">L$5*(1+A_pore*L$6*($A10/100))/(1-L$6*(1+((1-phimax_pore)/phimax_pore^2)*($A10/100))*($A10/100))</f>
        <v>0.220263589966749</v>
      </c>
      <c r="M10" s="9" t="n">
        <f aca="false">M$5*(1+A_pore*M$6*($A10/100))/(1-M$6*(1+((1-phimax_pore)/phimax_pore^2)*($A10/100))*($A10/100))</f>
        <v>0.234019675474599</v>
      </c>
      <c r="N10" s="9" t="n">
        <f aca="false">N$5*(1+A_pore*N$6*($A10/100))/(1-N$6*(1+((1-phimax_pore)/phimax_pore^2)*($A10/100))*($A10/100))</f>
        <v>0.248686122191901</v>
      </c>
      <c r="O10" s="9" t="n">
        <f aca="false">O$5*(1+A_pore*O$6*($A10/100))/(1-O$6*(1+((1-phimax_pore)/phimax_pore^2)*($A10/100))*($A10/100))</f>
        <v>0.264374881362007</v>
      </c>
      <c r="P10" s="9" t="n">
        <f aca="false">P$5*(1+A_pore*P$6*($A10/100))/(1-P$6*(1+((1-phimax_pore)/phimax_pore^2)*($A10/100))*($A10/100))</f>
        <v>0.281216937049823</v>
      </c>
      <c r="Q10" s="9" t="n">
        <f aca="false">Q$5*(1+A_pore*Q$6*($A10/100))/(1-Q$6*(1+((1-phimax_pore)/phimax_pore^2)*($A10/100))*($A10/100))</f>
        <v>0.299366544016309</v>
      </c>
      <c r="R10" s="9" t="n">
        <f aca="false">R$5*(1+A_pore*R$6*($A10/100))/(1-R$6*(1+((1-phimax_pore)/phimax_pore^2)*($A10/100))*($A10/100))</f>
        <v>0.319006651197669</v>
      </c>
      <c r="S10" s="9" t="n">
        <f aca="false">S$5*(1+A_pore*S$6*($A10/100))/(1-S$6*(1+((1-phimax_pore)/phimax_pore^2)*($A10/100))*($A10/100))</f>
        <v>0.340355916826452</v>
      </c>
      <c r="T10" s="9" t="n">
        <f aca="false">T$5*(1+A_pore*T$6*($A10/100))/(1-T$6*(1+((1-phimax_pore)/phimax_pore^2)*($A10/100))*($A10/100))</f>
        <v>0.363677888347345</v>
      </c>
      <c r="U10" s="9" t="n">
        <f aca="false">U$5*(1+A_pore*U$6*($A10/100))/(1-U$6*(1+((1-phimax_pore)/phimax_pore^2)*($A10/100))*($A10/100))</f>
        <v>0.389293168975165</v>
      </c>
      <c r="V10" s="9" t="n">
        <f aca="false">V$5*(1+A_pore*V$6*($A10/100))/(1-V$6*(1+((1-phimax_pore)/phimax_pore^2)*($A10/100))*($A10/100))</f>
        <v>0.41759576980374</v>
      </c>
      <c r="W10" s="9" t="n">
        <f aca="false">W$5*(1+A_pore*W$6*($A10/100))/(1-W$6*(1+((1-phimax_pore)/phimax_pore^2)*($A10/100))*($A10/100))</f>
        <v>0.44907542990174</v>
      </c>
      <c r="X10" s="9" t="n">
        <f aca="false">X$5*(1+A_pore*X$6*($A10/100))/(1-X$6*(1+((1-phimax_pore)/phimax_pore^2)*($A10/100))*($A10/100))</f>
        <v>0.48434861057989</v>
      </c>
      <c r="Y10" s="9" t="n">
        <f aca="false">Y$5*(1+A_pore*Y$6*($A10/100))/(1-Y$6*(1+((1-phimax_pore)/phimax_pore^2)*($A10/100))*($A10/100))</f>
        <v>0.524202369656623</v>
      </c>
      <c r="Z10" s="9" t="n">
        <f aca="false">Z$5*(1+A_pore*Z$6*($A10/100))/(1-Z$6*(1+((1-phimax_pore)/phimax_pore^2)*($A10/100))*($A10/100))</f>
        <v>0.569657825702295</v>
      </c>
      <c r="AA10" s="9" t="n">
        <f aca="false">AA$5*(1+A_pore*AA$6*($A10/100))/(1-AA$6*(1+((1-phimax_pore)/phimax_pore^2)*($A10/100))*($A10/100))</f>
        <v>0.622064238642779</v>
      </c>
      <c r="AB10" s="9" t="n">
        <f aca="false">AB$5*(1+A_pore*AB$6*($A10/100))/(1-AB$6*(1+((1-phimax_pore)/phimax_pore^2)*($A10/100))*($A10/100))</f>
        <v>0.683242446424383</v>
      </c>
      <c r="AC10" s="9" t="n">
        <f aca="false">AC$5*(1+A_pore*AC$6*($A10/100))/(1-AC$6*(1+((1-phimax_pore)/phimax_pore^2)*($A10/100))*($A10/100))</f>
        <v>0.755710762657177</v>
      </c>
      <c r="AD10" s="9" t="n">
        <f aca="false">AD$5*(1+A_pore*AD$6*($A10/100))/(1-AD$6*(1+((1-phimax_pore)/phimax_pore^2)*($A10/100))*($A10/100))</f>
        <v>0.843054506682177</v>
      </c>
      <c r="AE10" s="9" t="n">
        <f aca="false">AE$5*(1+A_pore*AE$6*($A10/100))/(1-AE$6*(1+((1-phimax_pore)/phimax_pore^2)*($A10/100))*($A10/100))</f>
        <v>0.950558346665702</v>
      </c>
      <c r="AF10" s="9" t="n">
        <f aca="false">AF$5*(1+A_pore*AF$6*($A10/100))/(1-AF$6*(1+((1-phimax_pore)/phimax_pore^2)*($A10/100))*($A10/100))</f>
        <v>1.08634885477649</v>
      </c>
      <c r="AG10" s="9" t="n">
        <f aca="false">AG$5*(1+A_pore*AG$6*($A10/100))/(1-AG$6*(1+((1-phimax_pore)/phimax_pore^2)*($A10/100))*($A10/100))</f>
        <v>1.26360218824093</v>
      </c>
      <c r="AH10" s="9" t="n">
        <f aca="false">AH$5*(1+A_pore*AH$6*($A10/100))/(1-AH$6*(1+((1-phimax_pore)/phimax_pore^2)*($A10/100))*($A10/100))</f>
        <v>1.50518844737796</v>
      </c>
      <c r="AI10" s="9" t="n">
        <f aca="false">AI$5*(1+A_pore*AI$6*($A10/100))/(1-AI$6*(1+((1-phimax_pore)/phimax_pore^2)*($A10/100))*($A10/100))</f>
        <v>1.85459770669897</v>
      </c>
      <c r="AJ10" s="9" t="n">
        <f aca="false">AJ$5*(1+A_pore*AJ$6*($A10/100))/(1-AJ$6*(1+((1-phimax_pore)/phimax_pore^2)*($A10/100))*($A10/100))</f>
        <v>2.40594476064091</v>
      </c>
      <c r="AK10" s="9" t="n">
        <f aca="false">AK$5*(1+A_pore*AK$6*($A10/100))/(1-AK$6*(1+((1-phimax_pore)/phimax_pore^2)*($A10/100))*($A10/100))</f>
        <v>3.407874613866</v>
      </c>
      <c r="AN10" s="4" t="n">
        <v>0</v>
      </c>
      <c r="AO10" s="4" t="n">
        <f aca="false">Samples!C4</f>
        <v>75.4</v>
      </c>
      <c r="AP10" s="4" t="n">
        <f aca="false">Samples!C9</f>
        <v>43.4</v>
      </c>
      <c r="AQ10" s="2" t="n">
        <v>0</v>
      </c>
      <c r="AR10" s="2" t="n">
        <f aca="false">AP10-AO10</f>
        <v>-32</v>
      </c>
    </row>
    <row r="11" customFormat="false" ht="15" hidden="false" customHeight="false" outlineLevel="0" collapsed="false">
      <c r="A11" s="4" t="n">
        <v>2</v>
      </c>
      <c r="B11" s="9" t="n">
        <f aca="false">B$5*(1+A_pore*B$6*($A11/100))/(1-B$6*(1+((1-phimax_pore)/phimax_pore^2)*($A11/100))*($A11/100))</f>
        <v>0.113498091201617</v>
      </c>
      <c r="C11" s="9" t="n">
        <f aca="false">C$5*(1+A_pore*C$6*($A11/100))/(1-C$6*(1+((1-phimax_pore)/phimax_pore^2)*($A11/100))*($A11/100))</f>
        <v>0.121386321319521</v>
      </c>
      <c r="D11" s="9" t="n">
        <f aca="false">D$5*(1+A_pore*D$6*($A11/100))/(1-D$6*(1+((1-phimax_pore)/phimax_pore^2)*($A11/100))*($A11/100))</f>
        <v>0.129578080055953</v>
      </c>
      <c r="E11" s="9" t="n">
        <f aca="false">E$5*(1+A_pore*E$6*($A11/100))/(1-E$6*(1+((1-phimax_pore)/phimax_pore^2)*($A11/100))*($A11/100))</f>
        <v>0.138100982911402</v>
      </c>
      <c r="F11" s="9" t="n">
        <f aca="false">F$5*(1+A_pore*F$6*($A11/100))/(1-F$6*(1+((1-phimax_pore)/phimax_pore^2)*($A11/100))*($A11/100))</f>
        <v>0.146985865631263</v>
      </c>
      <c r="G11" s="9" t="n">
        <f aca="false">G$5*(1+A_pore*G$6*($A11/100))/(1-G$6*(1+((1-phimax_pore)/phimax_pore^2)*($A11/100))*($A11/100))</f>
        <v>0.156267281844011</v>
      </c>
      <c r="H11" s="9" t="n">
        <f aca="false">H$5*(1+A_pore*H$6*($A11/100))/(1-H$6*(1+((1-phimax_pore)/phimax_pore^2)*($A11/100))*($A11/100))</f>
        <v>0.165984095342857</v>
      </c>
      <c r="I11" s="9" t="n">
        <f aca="false">I$5*(1+A_pore*I$6*($A11/100))/(1-I$6*(1+((1-phimax_pore)/phimax_pore^2)*($A11/100))*($A11/100))</f>
        <v>0.176180188773304</v>
      </c>
      <c r="J11" s="9" t="n">
        <f aca="false">J$5*(1+A_pore*J$6*($A11/100))/(1-J$6*(1+((1-phimax_pore)/phimax_pore^2)*($A11/100))*($A11/100))</f>
        <v>0.18690531640045</v>
      </c>
      <c r="K11" s="9" t="n">
        <f aca="false">K$5*(1+A_pore*K$6*($A11/100))/(1-K$6*(1+((1-phimax_pore)/phimax_pore^2)*($A11/100))*($A11/100))</f>
        <v>0.198216136411987</v>
      </c>
      <c r="L11" s="9" t="n">
        <f aca="false">L$5*(1+A_pore*L$6*($A11/100))/(1-L$6*(1+((1-phimax_pore)/phimax_pore^2)*($A11/100))*($A11/100))</f>
        <v>0.210177468547583</v>
      </c>
      <c r="M11" s="9" t="n">
        <f aca="false">M$5*(1+A_pore*M$6*($A11/100))/(1-M$6*(1+((1-phimax_pore)/phimax_pore^2)*($A11/100))*($A11/100))</f>
        <v>0.222863836697967</v>
      </c>
      <c r="N11" s="9" t="n">
        <f aca="false">N$5*(1+A_pore*N$6*($A11/100))/(1-N$6*(1+((1-phimax_pore)/phimax_pore^2)*($A11/100))*($A11/100))</f>
        <v>0.236361374870828</v>
      </c>
      <c r="O11" s="9" t="n">
        <f aca="false">O$5*(1+A_pore*O$6*($A11/100))/(1-O$6*(1+((1-phimax_pore)/phimax_pore^2)*($A11/100))*($A11/100))</f>
        <v>0.250770200580876</v>
      </c>
      <c r="P11" s="9" t="n">
        <f aca="false">P$5*(1+A_pore*P$6*($A11/100))/(1-P$6*(1+((1-phimax_pore)/phimax_pore^2)*($A11/100))*($A11/100))</f>
        <v>0.266207395235213</v>
      </c>
      <c r="Q11" s="9" t="n">
        <f aca="false">Q$5*(1+A_pore*Q$6*($A11/100))/(1-Q$6*(1+((1-phimax_pore)/phimax_pore^2)*($A11/100))*($A11/100))</f>
        <v>0.282810780843959</v>
      </c>
      <c r="R11" s="9" t="n">
        <f aca="false">R$5*(1+A_pore*R$6*($A11/100))/(1-R$6*(1+((1-phimax_pore)/phimax_pore^2)*($A11/100))*($A11/100))</f>
        <v>0.300743753035238</v>
      </c>
      <c r="S11" s="9" t="n">
        <f aca="false">S$5*(1+A_pore*S$6*($A11/100))/(1-S$6*(1+((1-phimax_pore)/phimax_pore^2)*($A11/100))*($A11/100))</f>
        <v>0.320201532115108</v>
      </c>
      <c r="T11" s="9" t="n">
        <f aca="false">T$5*(1+A_pore*T$6*($A11/100))/(1-T$6*(1+((1-phimax_pore)/phimax_pore^2)*($A11/100))*($A11/100))</f>
        <v>0.341419342794072</v>
      </c>
      <c r="U11" s="9" t="n">
        <f aca="false">U$5*(1+A_pore*U$6*($A11/100))/(1-U$6*(1+((1-phimax_pore)/phimax_pore^2)*($A11/100))*($A11/100))</f>
        <v>0.364683254760547</v>
      </c>
      <c r="V11" s="9" t="n">
        <f aca="false">V$5*(1+A_pore*V$6*($A11/100))/(1-V$6*(1+((1-phimax_pore)/phimax_pore^2)*($A11/100))*($A11/100))</f>
        <v>0.390344752199779</v>
      </c>
      <c r="W11" s="9" t="n">
        <f aca="false">W$5*(1+A_pore*W$6*($A11/100))/(1-W$6*(1+((1-phimax_pore)/phimax_pore^2)*($A11/100))*($A11/100))</f>
        <v>0.418840620212217</v>
      </c>
      <c r="X11" s="9" t="n">
        <f aca="false">X$5*(1+A_pore*X$6*($A11/100))/(1-X$6*(1+((1-phimax_pore)/phimax_pore^2)*($A11/100))*($A11/100))</f>
        <v>0.450720559037885</v>
      </c>
      <c r="Y11" s="9" t="n">
        <f aca="false">Y$5*(1+A_pore*Y$6*($A11/100))/(1-Y$6*(1+((1-phimax_pore)/phimax_pore^2)*($A11/100))*($A11/100))</f>
        <v>0.486686273000213</v>
      </c>
      <c r="Z11" s="9" t="n">
        <f aca="false">Z$5*(1+A_pore*Z$6*($A11/100))/(1-Z$6*(1+((1-phimax_pore)/phimax_pore^2)*($A11/100))*($A11/100))</f>
        <v>0.527648011990862</v>
      </c>
      <c r="AA11" s="9" t="n">
        <f aca="false">AA$5*(1+A_pore*AA$6*($A11/100))/(1-AA$6*(1+((1-phimax_pore)/phimax_pore^2)*($A11/100))*($A11/100))</f>
        <v>0.574808388725401</v>
      </c>
      <c r="AB11" s="9" t="n">
        <f aca="false">AB$5*(1+A_pore*AB$6*($A11/100))/(1-AB$6*(1+((1-phimax_pore)/phimax_pore^2)*($A11/100))*($A11/100))</f>
        <v>0.629790166666116</v>
      </c>
      <c r="AC11" s="9" t="n">
        <f aca="false">AC$5*(1+A_pore*AC$6*($A11/100))/(1-AC$6*(1+((1-phimax_pore)/phimax_pore^2)*($A11/100))*($A11/100))</f>
        <v>0.694837511232644</v>
      </c>
      <c r="AD11" s="9" t="n">
        <f aca="false">AD$5*(1+A_pore*AD$6*($A11/100))/(1-AD$6*(1+((1-phimax_pore)/phimax_pore^2)*($A11/100))*($A11/100))</f>
        <v>0.773145200910098</v>
      </c>
      <c r="AE11" s="9" t="n">
        <f aca="false">AE$5*(1+A_pore*AE$6*($A11/100))/(1-AE$6*(1+((1-phimax_pore)/phimax_pore^2)*($A11/100))*($A11/100))</f>
        <v>0.869421974227478</v>
      </c>
      <c r="AF11" s="9" t="n">
        <f aca="false">AF$5*(1+A_pore*AF$6*($A11/100))/(1-AF$6*(1+((1-phimax_pore)/phimax_pore^2)*($A11/100))*($A11/100))</f>
        <v>0.99090841619669</v>
      </c>
      <c r="AG11" s="9" t="n">
        <f aca="false">AG$5*(1+A_pore*AG$6*($A11/100))/(1-AG$6*(1+((1-phimax_pore)/phimax_pore^2)*($A11/100))*($A11/100))</f>
        <v>1.14934374740361</v>
      </c>
      <c r="AH11" s="9" t="n">
        <f aca="false">AH$5*(1+A_pore*AH$6*($A11/100))/(1-AH$6*(1+((1-phimax_pore)/phimax_pore^2)*($A11/100))*($A11/100))</f>
        <v>1.36510340709608</v>
      </c>
      <c r="AI11" s="9" t="n">
        <f aca="false">AI$5*(1+A_pore*AI$6*($A11/100))/(1-AI$6*(1+((1-phimax_pore)/phimax_pore^2)*($A11/100))*($A11/100))</f>
        <v>1.67693287128131</v>
      </c>
      <c r="AJ11" s="9" t="n">
        <f aca="false">AJ$5*(1+A_pore*AJ$6*($A11/100))/(1-AJ$6*(1+((1-phimax_pore)/phimax_pore^2)*($A11/100))*($A11/100))</f>
        <v>2.16867837047005</v>
      </c>
      <c r="AK11" s="9" t="n">
        <f aca="false">AK$5*(1+A_pore*AK$6*($A11/100))/(1-AK$6*(1+((1-phimax_pore)/phimax_pore^2)*($A11/100))*($A11/100))</f>
        <v>3.06185451234446</v>
      </c>
      <c r="AN11" s="4" t="n">
        <v>10</v>
      </c>
      <c r="AO11" s="4" t="n">
        <f aca="false">Samples!C5</f>
        <v>91.4</v>
      </c>
      <c r="AP11" s="4" t="n">
        <f aca="false">Samples!C10</f>
        <v>29.8</v>
      </c>
      <c r="AQ11" s="2" t="n">
        <v>0</v>
      </c>
      <c r="AR11" s="2" t="n">
        <f aca="false">AP11-AO11</f>
        <v>-61.6</v>
      </c>
    </row>
    <row r="12" customFormat="false" ht="15" hidden="false" customHeight="false" outlineLevel="0" collapsed="false">
      <c r="A12" s="4" t="n">
        <v>3</v>
      </c>
      <c r="B12" s="9" t="n">
        <f aca="false">B$5*(1+A_pore*B$6*($A12/100))/(1-B$6*(1+((1-phimax_pore)/phimax_pore^2)*($A12/100))*($A12/100))</f>
        <v>0.110484972199065</v>
      </c>
      <c r="C12" s="9" t="n">
        <f aca="false">C$5*(1+A_pore*C$6*($A12/100))/(1-C$6*(1+((1-phimax_pore)/phimax_pore^2)*($A12/100))*($A12/100))</f>
        <v>0.117946497460373</v>
      </c>
      <c r="D12" s="9" t="n">
        <f aca="false">D$5*(1+A_pore*D$6*($A12/100))/(1-D$6*(1+((1-phimax_pore)/phimax_pore^2)*($A12/100))*($A12/100))</f>
        <v>0.125675668975404</v>
      </c>
      <c r="E12" s="9" t="n">
        <f aca="false">E$5*(1+A_pore*E$6*($A12/100))/(1-E$6*(1+((1-phimax_pore)/phimax_pore^2)*($A12/100))*($A12/100))</f>
        <v>0.133697680727388</v>
      </c>
      <c r="F12" s="9" t="n">
        <f aca="false">F$5*(1+A_pore*F$6*($A12/100))/(1-F$6*(1+((1-phimax_pore)/phimax_pore^2)*($A12/100))*($A12/100))</f>
        <v>0.142040613188322</v>
      </c>
      <c r="G12" s="9" t="n">
        <f aca="false">G$5*(1+A_pore*G$6*($A12/100))/(1-G$6*(1+((1-phimax_pore)/phimax_pore^2)*($A12/100))*($A12/100))</f>
        <v>0.15073588201447</v>
      </c>
      <c r="H12" s="9" t="n">
        <f aca="false">H$5*(1+A_pore*H$6*($A12/100))/(1-H$6*(1+((1-phimax_pore)/phimax_pore^2)*($A12/100))*($A12/100))</f>
        <v>0.159818771849478</v>
      </c>
      <c r="I12" s="9" t="n">
        <f aca="false">I$5*(1+A_pore*I$6*($A12/100))/(1-I$6*(1+((1-phimax_pore)/phimax_pore^2)*($A12/100))*($A12/100))</f>
        <v>0.169329074820765</v>
      </c>
      <c r="J12" s="9" t="n">
        <f aca="false">J$5*(1+A_pore*J$6*($A12/100))/(1-J$6*(1+((1-phimax_pore)/phimax_pore^2)*($A12/100))*($A12/100))</f>
        <v>0.179311858633283</v>
      </c>
      <c r="K12" s="9" t="n">
        <f aca="false">K$5*(1+A_pore*K$6*($A12/100))/(1-K$6*(1+((1-phimax_pore)/phimax_pore^2)*($A12/100))*($A12/100))</f>
        <v>0.189818396166536</v>
      </c>
      <c r="L12" s="9" t="n">
        <f aca="false">L$5*(1+A_pore*L$6*($A12/100))/(1-L$6*(1+((1-phimax_pore)/phimax_pore^2)*($A12/100))*($A12/100))</f>
        <v>0.200907297779184</v>
      </c>
      <c r="M12" s="9" t="n">
        <f aca="false">M$5*(1+A_pore*M$6*($A12/100))/(1-M$6*(1+((1-phimax_pore)/phimax_pore^2)*($A12/100))*($A12/100))</f>
        <v>0.212645899989474</v>
      </c>
      <c r="N12" s="9" t="n">
        <f aca="false">N$5*(1+A_pore*N$6*($A12/100))/(1-N$6*(1+((1-phimax_pore)/phimax_pore^2)*($A12/100))*($A12/100))</f>
        <v>0.225111981073457</v>
      </c>
      <c r="O12" s="9" t="n">
        <f aca="false">O$5*(1+A_pore*O$6*($A12/100))/(1-O$6*(1+((1-phimax_pore)/phimax_pore^2)*($A12/100))*($A12/100))</f>
        <v>0.238395897211015</v>
      </c>
      <c r="P12" s="9" t="n">
        <f aca="false">P$5*(1+A_pore*P$6*($A12/100))/(1-P$6*(1+((1-phimax_pore)/phimax_pore^2)*($A12/100))*($A12/100))</f>
        <v>0.252603264763657</v>
      </c>
      <c r="Q12" s="9" t="n">
        <f aca="false">Q$5*(1+A_pore*Q$6*($A12/100))/(1-Q$6*(1+((1-phimax_pore)/phimax_pore^2)*($A12/100))*($A12/100))</f>
        <v>0.267858359039331</v>
      </c>
      <c r="R12" s="9" t="n">
        <f aca="false">R$5*(1+A_pore*R$6*($A12/100))/(1-R$6*(1+((1-phimax_pore)/phimax_pore^2)*($A12/100))*($A12/100))</f>
        <v>0.284308463467297</v>
      </c>
      <c r="S12" s="9" t="n">
        <f aca="false">S$5*(1+A_pore*S$6*($A12/100))/(1-S$6*(1+((1-phimax_pore)/phimax_pore^2)*($A12/100))*($A12/100))</f>
        <v>0.302129494667984</v>
      </c>
      <c r="T12" s="9" t="n">
        <f aca="false">T$5*(1+A_pore*T$6*($A12/100))/(1-T$6*(1+((1-phimax_pore)/phimax_pore^2)*($A12/100))*($A12/100))</f>
        <v>0.321533362861606</v>
      </c>
      <c r="U12" s="9" t="n">
        <f aca="false">U$5*(1+A_pore*U$6*($A12/100))/(1-U$6*(1+((1-phimax_pore)/phimax_pore^2)*($A12/100))*($A12/100))</f>
        <v>0.342777726411586</v>
      </c>
      <c r="V12" s="9" t="n">
        <f aca="false">V$5*(1+A_pore*V$6*($A12/100))/(1-V$6*(1+((1-phimax_pore)/phimax_pore^2)*($A12/100))*($A12/100))</f>
        <v>0.366179101548895</v>
      </c>
      <c r="W12" s="9" t="n">
        <f aca="false">W$5*(1+A_pore*W$6*($A12/100))/(1-W$6*(1+((1-phimax_pore)/phimax_pore^2)*($A12/100))*($A12/100))</f>
        <v>0.392130756075604</v>
      </c>
      <c r="X12" s="9" t="n">
        <f aca="false">X$5*(1+A_pore*X$6*($A12/100))/(1-X$6*(1+((1-phimax_pore)/phimax_pore^2)*($A12/100))*($A12/100))</f>
        <v>0.42112755631739</v>
      </c>
      <c r="Y12" s="9" t="n">
        <f aca="false">Y$5*(1+A_pore*Y$6*($A12/100))/(1-Y$6*(1+((1-phimax_pore)/phimax_pore^2)*($A12/100))*($A12/100))</f>
        <v>0.453801138699841</v>
      </c>
      <c r="Z12" s="9" t="n">
        <f aca="false">Z$5*(1+A_pore*Z$6*($A12/100))/(1-Z$6*(1+((1-phimax_pore)/phimax_pore^2)*($A12/100))*($A12/100))</f>
        <v>0.49097078463876</v>
      </c>
      <c r="AA12" s="9" t="n">
        <f aca="false">AA$5*(1+A_pore*AA$6*($A12/100))/(1-AA$6*(1+((1-phimax_pore)/phimax_pore^2)*($A12/100))*($A12/100))</f>
        <v>0.533718837438172</v>
      </c>
      <c r="AB12" s="9" t="n">
        <f aca="false">AB$5*(1+A_pore*AB$6*($A12/100))/(1-AB$6*(1+((1-phimax_pore)/phimax_pore^2)*($A12/100))*($A12/100))</f>
        <v>0.58350568284716</v>
      </c>
      <c r="AC12" s="9" t="n">
        <f aca="false">AC$5*(1+A_pore*AC$6*($A12/100))/(1-AC$6*(1+((1-phimax_pore)/phimax_pore^2)*($A12/100))*($A12/100))</f>
        <v>0.642350830008497</v>
      </c>
      <c r="AD12" s="9" t="n">
        <f aca="false">AD$5*(1+A_pore*AD$6*($A12/100))/(1-AD$6*(1+((1-phimax_pore)/phimax_pore^2)*($A12/100))*($A12/100))</f>
        <v>0.713129127517626</v>
      </c>
      <c r="AE12" s="9" t="n">
        <f aca="false">AE$5*(1+A_pore*AE$6*($A12/100))/(1-AE$6*(1+((1-phimax_pore)/phimax_pore^2)*($A12/100))*($A12/100))</f>
        <v>0.800077649158328</v>
      </c>
      <c r="AF12" s="9" t="n">
        <f aca="false">AF$5*(1+A_pore*AF$6*($A12/100))/(1-AF$6*(1+((1-phimax_pore)/phimax_pore^2)*($A12/100))*($A12/100))</f>
        <v>0.90971156315073</v>
      </c>
      <c r="AG12" s="9" t="n">
        <f aca="false">AG$5*(1+A_pore*AG$6*($A12/100))/(1-AG$6*(1+((1-phimax_pore)/phimax_pore^2)*($A12/100))*($A12/100))</f>
        <v>1.05259380103255</v>
      </c>
      <c r="AH12" s="9" t="n">
        <f aca="false">AH$5*(1+A_pore*AH$6*($A12/100))/(1-AH$6*(1+((1-phimax_pore)/phimax_pore^2)*($A12/100))*($A12/100))</f>
        <v>1.24705795471167</v>
      </c>
      <c r="AI12" s="9" t="n">
        <f aca="false">AI$5*(1+A_pore*AI$6*($A12/100))/(1-AI$6*(1+((1-phimax_pore)/phimax_pore^2)*($A12/100))*($A12/100))</f>
        <v>1.52796653149621</v>
      </c>
      <c r="AJ12" s="9" t="n">
        <f aca="false">AJ$5*(1+A_pore*AJ$6*($A12/100))/(1-AJ$6*(1+((1-phimax_pore)/phimax_pore^2)*($A12/100))*($A12/100))</f>
        <v>1.97076261235015</v>
      </c>
      <c r="AK12" s="9" t="n">
        <f aca="false">AK$5*(1+A_pore*AK$6*($A12/100))/(1-AK$6*(1+((1-phimax_pore)/phimax_pore^2)*($A12/100))*($A12/100))</f>
        <v>2.77475998182017</v>
      </c>
      <c r="AN12" s="4" t="n">
        <v>30</v>
      </c>
      <c r="AO12" s="4" t="n">
        <f aca="false">Samples!C6</f>
        <v>48.8</v>
      </c>
      <c r="AP12" s="4" t="n">
        <f aca="false">Samples!C11</f>
        <v>67.2</v>
      </c>
      <c r="AQ12" s="2" t="n">
        <v>0</v>
      </c>
      <c r="AR12" s="2" t="n">
        <f aca="false">AP12-AO12</f>
        <v>18.4</v>
      </c>
    </row>
    <row r="13" customFormat="false" ht="15" hidden="false" customHeight="false" outlineLevel="0" collapsed="false">
      <c r="A13" s="4" t="n">
        <v>4</v>
      </c>
      <c r="B13" s="9" t="n">
        <f aca="false">B$5*(1+A_pore*B$6*($A13/100))/(1-B$6*(1+((1-phimax_pore)/phimax_pore^2)*($A13/100))*($A13/100))</f>
        <v>0.107615316572244</v>
      </c>
      <c r="C13" s="9" t="n">
        <f aca="false">C$5*(1+A_pore*C$6*($A13/100))/(1-C$6*(1+((1-phimax_pore)/phimax_pore^2)*($A13/100))*($A13/100))</f>
        <v>0.114681205764107</v>
      </c>
      <c r="D13" s="9" t="n">
        <f aca="false">D$5*(1+A_pore*D$6*($A13/100))/(1-D$6*(1+((1-phimax_pore)/phimax_pore^2)*($A13/100))*($A13/100))</f>
        <v>0.121983333435499</v>
      </c>
      <c r="E13" s="9" t="n">
        <f aca="false">E$5*(1+A_pore*E$6*($A13/100))/(1-E$6*(1+((1-phimax_pore)/phimax_pore^2)*($A13/100))*($A13/100))</f>
        <v>0.129544910691606</v>
      </c>
      <c r="F13" s="9" t="n">
        <f aca="false">F$5*(1+A_pore*F$6*($A13/100))/(1-F$6*(1+((1-phimax_pore)/phimax_pore^2)*($A13/100))*($A13/100))</f>
        <v>0.137391749723037</v>
      </c>
      <c r="G13" s="9" t="n">
        <f aca="false">G$5*(1+A_pore*G$6*($A13/100))/(1-G$6*(1+((1-phimax_pore)/phimax_pore^2)*($A13/100))*($A13/100))</f>
        <v>0.1455526720254</v>
      </c>
      <c r="H13" s="9" t="n">
        <f aca="false">H$5*(1+A_pore*H$6*($A13/100))/(1-H$6*(1+((1-phimax_pore)/phimax_pore^2)*($A13/100))*($A13/100))</f>
        <v>0.154059993729337</v>
      </c>
      <c r="I13" s="9" t="n">
        <f aca="false">I$5*(1+A_pore*I$6*($A13/100))/(1-I$6*(1+((1-phimax_pore)/phimax_pore^2)*($A13/100))*($A13/100))</f>
        <v>0.162950105815429</v>
      </c>
      <c r="J13" s="9" t="n">
        <f aca="false">J$5*(1+A_pore*J$6*($A13/100))/(1-J$6*(1+((1-phimax_pore)/phimax_pore^2)*($A13/100))*($A13/100))</f>
        <v>0.172264171812218</v>
      </c>
      <c r="K13" s="9" t="n">
        <f aca="false">K$5*(1+A_pore*K$6*($A13/100))/(1-K$6*(1+((1-phimax_pore)/phimax_pore^2)*($A13/100))*($A13/100))</f>
        <v>0.182048971926497</v>
      </c>
      <c r="L13" s="9" t="n">
        <f aca="false">L$5*(1+A_pore*L$6*($A13/100))/(1-L$6*(1+((1-phimax_pore)/phimax_pore^2)*($A13/100))*($A13/100))</f>
        <v>0.192357930989444</v>
      </c>
      <c r="M13" s="9" t="n">
        <f aca="false">M$5*(1+A_pore*M$6*($A13/100))/(1-M$6*(1+((1-phimax_pore)/phimax_pore^2)*($A13/100))*($A13/100))</f>
        <v>0.203252378908253</v>
      </c>
      <c r="N13" s="9" t="n">
        <f aca="false">N$5*(1+A_pore*N$6*($A13/100))/(1-N$6*(1+((1-phimax_pore)/phimax_pore^2)*($A13/100))*($A13/100))</f>
        <v>0.21480310761943</v>
      </c>
      <c r="O13" s="9" t="n">
        <f aca="false">O$5*(1+A_pore*O$6*($A13/100))/(1-O$6*(1+((1-phimax_pore)/phimax_pore^2)*($A13/100))*($A13/100))</f>
        <v>0.227092309483865</v>
      </c>
      <c r="P13" s="9" t="n">
        <f aca="false">P$5*(1+A_pore*P$6*($A13/100))/(1-P$6*(1+((1-phimax_pore)/phimax_pore^2)*($A13/100))*($A13/100))</f>
        <v>0.240216011050653</v>
      </c>
      <c r="Q13" s="9" t="n">
        <f aca="false">Q$5*(1+A_pore*Q$6*($A13/100))/(1-Q$6*(1+((1-phimax_pore)/phimax_pore^2)*($A13/100))*($A13/100))</f>
        <v>0.254287156730808</v>
      </c>
      <c r="R13" s="9" t="n">
        <f aca="false">R$5*(1+A_pore*R$6*($A13/100))/(1-R$6*(1+((1-phimax_pore)/phimax_pore^2)*($A13/100))*($A13/100))</f>
        <v>0.269439554587925</v>
      </c>
      <c r="S13" s="9" t="n">
        <f aca="false">S$5*(1+A_pore*S$6*($A13/100))/(1-S$6*(1+((1-phimax_pore)/phimax_pore^2)*($A13/100))*($A13/100))</f>
        <v>0.285832979513867</v>
      </c>
      <c r="T13" s="9" t="n">
        <f aca="false">T$5*(1+A_pore*T$6*($A13/100))/(1-T$6*(1+((1-phimax_pore)/phimax_pore^2)*($A13/100))*($A13/100))</f>
        <v>0.303659850579796</v>
      </c>
      <c r="U13" s="9" t="n">
        <f aca="false">U$5*(1+A_pore*U$6*($A13/100))/(1-U$6*(1+((1-phimax_pore)/phimax_pore^2)*($A13/100))*($A13/100))</f>
        <v>0.323154080197802</v>
      </c>
      <c r="V13" s="9" t="n">
        <f aca="false">V$5*(1+A_pore*V$6*($A13/100))/(1-V$6*(1+((1-phimax_pore)/phimax_pore^2)*($A13/100))*($A13/100))</f>
        <v>0.344602966918851</v>
      </c>
      <c r="W13" s="9" t="n">
        <f aca="false">W$5*(1+A_pore*W$6*($A13/100))/(1-W$6*(1+((1-phimax_pore)/phimax_pore^2)*($A13/100))*($A13/100))</f>
        <v>0.368363428021331</v>
      </c>
      <c r="X13" s="9" t="n">
        <f aca="false">X$5*(1+A_pore*X$6*($A13/100))/(1-X$6*(1+((1-phimax_pore)/phimax_pore^2)*($A13/100))*($A13/100))</f>
        <v>0.39488453977528</v>
      </c>
      <c r="Y13" s="9" t="n">
        <f aca="false">Y$5*(1+A_pore*Y$6*($A13/100))/(1-Y$6*(1+((1-phimax_pore)/phimax_pore^2)*($A13/100))*($A13/100))</f>
        <v>0.42473944377746</v>
      </c>
      <c r="Z13" s="9" t="n">
        <f aca="false">Z$5*(1+A_pore*Z$6*($A13/100))/(1-Z$6*(1+((1-phimax_pore)/phimax_pore^2)*($A13/100))*($A13/100))</f>
        <v>0.458671498723747</v>
      </c>
      <c r="AA13" s="9" t="n">
        <f aca="false">AA$5*(1+A_pore*AA$6*($A13/100))/(1-AA$6*(1+((1-phimax_pore)/phimax_pore^2)*($A13/100))*($A13/100))</f>
        <v>0.497662695789576</v>
      </c>
      <c r="AB13" s="9" t="n">
        <f aca="false">AB$5*(1+A_pore*AB$6*($A13/100))/(1-AB$6*(1+((1-phimax_pore)/phimax_pore^2)*($A13/100))*($A13/100))</f>
        <v>0.543037964771672</v>
      </c>
      <c r="AC13" s="9" t="n">
        <f aca="false">AC$5*(1+A_pore*AC$6*($A13/100))/(1-AC$6*(1+((1-phimax_pore)/phimax_pore^2)*($A13/100))*($A13/100))</f>
        <v>0.596629444263107</v>
      </c>
      <c r="AD13" s="9" t="n">
        <f aca="false">AD$5*(1+A_pore*AD$6*($A13/100))/(1-AD$6*(1+((1-phimax_pore)/phimax_pore^2)*($A13/100))*($A13/100))</f>
        <v>0.661045198599319</v>
      </c>
      <c r="AE13" s="9" t="n">
        <f aca="false">AE$5*(1+A_pore*AE$6*($A13/100))/(1-AE$6*(1+((1-phimax_pore)/phimax_pore^2)*($A13/100))*($A13/100))</f>
        <v>0.740129047518244</v>
      </c>
      <c r="AF13" s="9" t="n">
        <f aca="false">AF$5*(1+A_pore*AF$6*($A13/100))/(1-AF$6*(1+((1-phimax_pore)/phimax_pore^2)*($A13/100))*($A13/100))</f>
        <v>0.839791412617939</v>
      </c>
      <c r="AG13" s="9" t="n">
        <f aca="false">AG$5*(1+A_pore*AG$6*($A13/100))/(1-AG$6*(1+((1-phimax_pore)/phimax_pore^2)*($A13/100))*($A13/100))</f>
        <v>0.969614703871924</v>
      </c>
      <c r="AH13" s="9" t="n">
        <f aca="false">AH$5*(1+A_pore*AH$6*($A13/100))/(1-AH$6*(1+((1-phimax_pore)/phimax_pore^2)*($A13/100))*($A13/100))</f>
        <v>1.1462306134227</v>
      </c>
      <c r="AI13" s="9" t="n">
        <f aca="false">AI$5*(1+A_pore*AI$6*($A13/100))/(1-AI$6*(1+((1-phimax_pore)/phimax_pore^2)*($A13/100))*($A13/100))</f>
        <v>1.40126532862306</v>
      </c>
      <c r="AJ13" s="9" t="n">
        <f aca="false">AJ$5*(1+A_pore*AJ$6*($A13/100))/(1-AJ$6*(1+((1-phimax_pore)/phimax_pore^2)*($A13/100))*($A13/100))</f>
        <v>1.80315844299898</v>
      </c>
      <c r="AK13" s="9" t="n">
        <f aca="false">AK$5*(1+A_pore*AK$6*($A13/100))/(1-AK$6*(1+((1-phimax_pore)/phimax_pore^2)*($A13/100))*($A13/100))</f>
        <v>2.53272116076832</v>
      </c>
      <c r="AN13" s="4" t="n">
        <v>50</v>
      </c>
      <c r="AO13" s="4" t="n">
        <f aca="false">Samples!C7</f>
        <v>58.1</v>
      </c>
      <c r="AP13" s="4" t="n">
        <f aca="false">Samples!C12</f>
        <v>64.6</v>
      </c>
      <c r="AQ13" s="2" t="n">
        <v>0</v>
      </c>
      <c r="AR13" s="2" t="n">
        <f aca="false">AP13-AO13</f>
        <v>6.49999999999999</v>
      </c>
    </row>
    <row r="14" customFormat="false" ht="15" hidden="false" customHeight="false" outlineLevel="0" collapsed="false">
      <c r="A14" s="4" t="n">
        <v>5</v>
      </c>
      <c r="B14" s="9" t="n">
        <f aca="false">B$5*(1+A_pore*B$6*($A14/100))/(1-B$6*(1+((1-phimax_pore)/phimax_pore^2)*($A14/100))*($A14/100))</f>
        <v>0.104879119846442</v>
      </c>
      <c r="C14" s="9" t="n">
        <f aca="false">C$5*(1+A_pore*C$6*($A14/100))/(1-C$6*(1+((1-phimax_pore)/phimax_pore^2)*($A14/100))*($A14/100))</f>
        <v>0.111577495626192</v>
      </c>
      <c r="D14" s="9" t="n">
        <f aca="false">D$5*(1+A_pore*D$6*($A14/100))/(1-D$6*(1+((1-phimax_pore)/phimax_pore^2)*($A14/100))*($A14/100))</f>
        <v>0.118484559648247</v>
      </c>
      <c r="E14" s="9" t="n">
        <f aca="false">E$5*(1+A_pore*E$6*($A14/100))/(1-E$6*(1+((1-phimax_pore)/phimax_pore^2)*($A14/100))*($A14/100))</f>
        <v>0.125621888436456</v>
      </c>
      <c r="F14" s="9" t="n">
        <f aca="false">F$5*(1+A_pore*F$6*($A14/100))/(1-F$6*(1+((1-phimax_pore)/phimax_pore^2)*($A14/100))*($A14/100))</f>
        <v>0.133013411609753</v>
      </c>
      <c r="G14" s="9" t="n">
        <f aca="false">G$5*(1+A_pore*G$6*($A14/100))/(1-G$6*(1+((1-phimax_pore)/phimax_pore^2)*($A14/100))*($A14/100))</f>
        <v>0.14068578631466</v>
      </c>
      <c r="H14" s="9" t="n">
        <f aca="false">H$5*(1+A_pore*H$6*($A14/100))/(1-H$6*(1+((1-phimax_pore)/phimax_pore^2)*($A14/100))*($A14/100))</f>
        <v>0.148668841945989</v>
      </c>
      <c r="I14" s="9" t="n">
        <f aca="false">I$5*(1+A_pore*I$6*($A14/100))/(1-I$6*(1+((1-phimax_pore)/phimax_pore^2)*($A14/100))*($A14/100))</f>
        <v>0.156996111402848</v>
      </c>
      <c r="J14" s="9" t="n">
        <f aca="false">J$5*(1+A_pore*J$6*($A14/100))/(1-J$6*(1+((1-phimax_pore)/phimax_pore^2)*($A14/100))*($A14/100))</f>
        <v>0.165705469531646</v>
      </c>
      <c r="K14" s="9" t="n">
        <f aca="false">K$5*(1+A_pore*K$6*($A14/100))/(1-K$6*(1+((1-phimax_pore)/phimax_pore^2)*($A14/100))*($A14/100))</f>
        <v>0.174839905207374</v>
      </c>
      <c r="L14" s="9" t="n">
        <f aca="false">L$5*(1+A_pore*L$6*($A14/100))/(1-L$6*(1+((1-phimax_pore)/phimax_pore^2)*($A14/100))*($A14/100))</f>
        <v>0.18444846120719</v>
      </c>
      <c r="M14" s="9" t="n">
        <f aca="false">M$5*(1+A_pore*M$6*($A14/100))/(1-M$6*(1+((1-phimax_pore)/phimax_pore^2)*($A14/100))*($A14/100))</f>
        <v>0.194587386356223</v>
      </c>
      <c r="N14" s="9" t="n">
        <f aca="false">N$5*(1+A_pore*N$6*($A14/100))/(1-N$6*(1+((1-phimax_pore)/phimax_pore^2)*($A14/100))*($A14/100))</f>
        <v>0.205321558405407</v>
      </c>
      <c r="O14" s="9" t="n">
        <f aca="false">O$5*(1+A_pore*O$6*($A14/100))/(1-O$6*(1+((1-phimax_pore)/phimax_pore^2)*($A14/100))*($A14/100))</f>
        <v>0.216726255230487</v>
      </c>
      <c r="P14" s="9" t="n">
        <f aca="false">P$5*(1+A_pore*P$6*($A14/100))/(1-P$6*(1+((1-phimax_pore)/phimax_pore^2)*($A14/100))*($A14/100))</f>
        <v>0.228889378416994</v>
      </c>
      <c r="Q14" s="9" t="n">
        <f aca="false">Q$5*(1+A_pore*Q$6*($A14/100))/(1-Q$6*(1+((1-phimax_pore)/phimax_pore^2)*($A14/100))*($A14/100))</f>
        <v>0.241914270392297</v>
      </c>
      <c r="R14" s="9" t="n">
        <f aca="false">R$5*(1+A_pore*R$6*($A14/100))/(1-R$6*(1+((1-phimax_pore)/phimax_pore^2)*($A14/100))*($A14/100))</f>
        <v>0.255923318937142</v>
      </c>
      <c r="S14" s="9" t="n">
        <f aca="false">S$5*(1+A_pore*S$6*($A14/100))/(1-S$6*(1+((1-phimax_pore)/phimax_pore^2)*($A14/100))*($A14/100))</f>
        <v>0.271062618776543</v>
      </c>
      <c r="T14" s="9" t="n">
        <f aca="false">T$5*(1+A_pore*T$6*($A14/100))/(1-T$6*(1+((1-phimax_pore)/phimax_pore^2)*($A14/100))*($A14/100))</f>
        <v>0.287508070947968</v>
      </c>
      <c r="U14" s="9" t="n">
        <f aca="false">U$5*(1+A_pore*U$6*($A14/100))/(1-U$6*(1+((1-phimax_pore)/phimax_pore^2)*($A14/100))*($A14/100))</f>
        <v>0.30547346582852</v>
      </c>
      <c r="V14" s="9" t="n">
        <f aca="false">V$5*(1+A_pore*V$6*($A14/100))/(1-V$6*(1+((1-phimax_pore)/phimax_pore^2)*($A14/100))*($A14/100))</f>
        <v>0.32522134614886</v>
      </c>
      <c r="W14" s="9" t="n">
        <f aca="false">W$5*(1+A_pore*W$6*($A14/100))/(1-W$6*(1+((1-phimax_pore)/phimax_pore^2)*($A14/100))*($A14/100))</f>
        <v>0.347077833904715</v>
      </c>
      <c r="X14" s="9" t="n">
        <f aca="false">X$5*(1+A_pore*X$6*($A14/100))/(1-X$6*(1+((1-phimax_pore)/phimax_pore^2)*($A14/100))*($A14/100))</f>
        <v>0.3714532186385</v>
      </c>
      <c r="Y14" s="9" t="n">
        <f aca="false">Y$5*(1+A_pore*Y$6*($A14/100))/(1-Y$6*(1+((1-phimax_pore)/phimax_pore^2)*($A14/100))*($A14/100))</f>
        <v>0.398871100640837</v>
      </c>
      <c r="Z14" s="9" t="n">
        <f aca="false">Z$5*(1+A_pore*Z$6*($A14/100))/(1-Z$6*(1+((1-phimax_pore)/phimax_pore^2)*($A14/100))*($A14/100))</f>
        <v>0.430010545906851</v>
      </c>
      <c r="AA14" s="9" t="n">
        <f aca="false">AA$5*(1+A_pore*AA$6*($A14/100))/(1-AA$6*(1+((1-phimax_pore)/phimax_pore^2)*($A14/100))*($A14/100))</f>
        <v>0.46576857668412</v>
      </c>
      <c r="AB14" s="9" t="n">
        <f aca="false">AB$5*(1+A_pore*AB$6*($A14/100))/(1-AB$6*(1+((1-phimax_pore)/phimax_pore^2)*($A14/100))*($A14/100))</f>
        <v>0.507355444727888</v>
      </c>
      <c r="AC14" s="9" t="n">
        <f aca="false">AC$5*(1+A_pore*AC$6*($A14/100))/(1-AC$6*(1+((1-phimax_pore)/phimax_pore^2)*($A14/100))*($A14/100))</f>
        <v>0.556444675929427</v>
      </c>
      <c r="AD14" s="9" t="n">
        <f aca="false">AD$5*(1+A_pore*AD$6*($A14/100))/(1-AD$6*(1+((1-phimax_pore)/phimax_pore^2)*($A14/100))*($A14/100))</f>
        <v>0.615418517119776</v>
      </c>
      <c r="AE14" s="9" t="n">
        <f aca="false">AE$5*(1+A_pore*AE$6*($A14/100))/(1-AE$6*(1+((1-phimax_pore)/phimax_pore^2)*($A14/100))*($A14/100))</f>
        <v>0.687787946263958</v>
      </c>
      <c r="AF14" s="9" t="n">
        <f aca="false">AF$5*(1+A_pore*AF$6*($A14/100))/(1-AF$6*(1+((1-phimax_pore)/phimax_pore^2)*($A14/100))*($A14/100))</f>
        <v>0.778951571586317</v>
      </c>
      <c r="AG14" s="9" t="n">
        <f aca="false">AG$5*(1+A_pore*AG$6*($A14/100))/(1-AG$6*(1+((1-phimax_pore)/phimax_pore^2)*($A14/100))*($A14/100))</f>
        <v>0.897662000389376</v>
      </c>
      <c r="AH14" s="9" t="n">
        <f aca="false">AH$5*(1+A_pore*AH$6*($A14/100))/(1-AH$6*(1+((1-phimax_pore)/phimax_pore^2)*($A14/100))*($A14/100))</f>
        <v>1.05911067930379</v>
      </c>
      <c r="AI14" s="9" t="n">
        <f aca="false">AI$5*(1+A_pore*AI$6*($A14/100))/(1-AI$6*(1+((1-phimax_pore)/phimax_pore^2)*($A14/100))*($A14/100))</f>
        <v>1.29218510165432</v>
      </c>
      <c r="AJ14" s="9" t="n">
        <f aca="false">AJ$5*(1+A_pore*AJ$6*($A14/100))/(1-AJ$6*(1+((1-phimax_pore)/phimax_pore^2)*($A14/100))*($A14/100))</f>
        <v>1.65939834138631</v>
      </c>
      <c r="AK14" s="9" t="n">
        <f aca="false">AK$5*(1+A_pore*AK$6*($A14/100))/(1-AK$6*(1+((1-phimax_pore)/phimax_pore^2)*($A14/100))*($A14/100))</f>
        <v>2.32590441101944</v>
      </c>
      <c r="AN14" s="4" t="n">
        <v>70</v>
      </c>
      <c r="AO14" s="4" t="n">
        <f aca="false">Samples!C8</f>
        <v>54.2</v>
      </c>
      <c r="AP14" s="4" t="n">
        <f aca="false">Samples!C13</f>
        <v>48.8</v>
      </c>
      <c r="AQ14" s="2" t="n">
        <v>0</v>
      </c>
      <c r="AR14" s="2" t="n">
        <f aca="false">AP14-AO14</f>
        <v>-5.40000000000001</v>
      </c>
    </row>
    <row r="15" customFormat="false" ht="15" hidden="false" customHeight="false" outlineLevel="0" collapsed="false">
      <c r="A15" s="4" t="n">
        <v>6</v>
      </c>
      <c r="B15" s="9" t="n">
        <f aca="false">B$5*(1+A_pore*B$6*($A15/100))/(1-B$6*(1+((1-phimax_pore)/phimax_pore^2)*($A15/100))*($A15/100))</f>
        <v>0.102267286635027</v>
      </c>
      <c r="C15" s="9" t="n">
        <f aca="false">C$5*(1+A_pore*C$6*($A15/100))/(1-C$6*(1+((1-phimax_pore)/phimax_pore^2)*($A15/100))*($A15/100))</f>
        <v>0.108623666792336</v>
      </c>
      <c r="D15" s="9" t="n">
        <f aca="false">D$5*(1+A_pore*D$6*($A15/100))/(1-D$6*(1+((1-phimax_pore)/phimax_pore^2)*($A15/100))*($A15/100))</f>
        <v>0.115164520467682</v>
      </c>
      <c r="E15" s="9" t="n">
        <f aca="false">E$5*(1+A_pore*E$6*($A15/100))/(1-E$6*(1+((1-phimax_pore)/phimax_pore^2)*($A15/100))*($A15/100))</f>
        <v>0.121910066778369</v>
      </c>
      <c r="F15" s="9" t="n">
        <f aca="false">F$5*(1+A_pore*F$6*($A15/100))/(1-F$6*(1+((1-phimax_pore)/phimax_pore^2)*($A15/100))*($A15/100))</f>
        <v>0.128882659394144</v>
      </c>
      <c r="G15" s="9" t="n">
        <f aca="false">G$5*(1+A_pore*G$6*($A15/100))/(1-G$6*(1+((1-phimax_pore)/phimax_pore^2)*($A15/100))*($A15/100))</f>
        <v>0.136107132564738</v>
      </c>
      <c r="H15" s="9" t="n">
        <f aca="false">H$5*(1+A_pore*H$6*($A15/100))/(1-H$6*(1+((1-phimax_pore)/phimax_pore^2)*($A15/100))*($A15/100))</f>
        <v>0.143611211523842</v>
      </c>
      <c r="I15" s="9" t="n">
        <f aca="false">I$5*(1+A_pore*I$6*($A15/100))/(1-I$6*(1+((1-phimax_pore)/phimax_pore^2)*($A15/100))*($A15/100))</f>
        <v>0.151426002215002</v>
      </c>
      <c r="J15" s="9" t="n">
        <f aca="false">J$5*(1+A_pore*J$6*($A15/100))/(1-J$6*(1+((1-phimax_pore)/phimax_pore^2)*($A15/100))*($A15/100))</f>
        <v>0.159586579329166</v>
      </c>
      <c r="K15" s="9" t="n">
        <f aca="false">K$5*(1+A_pore*K$6*($A15/100))/(1-K$6*(1+((1-phimax_pore)/phimax_pore^2)*($A15/100))*($A15/100))</f>
        <v>0.168132696969791</v>
      </c>
      <c r="L15" s="9" t="n">
        <f aca="false">L$5*(1+A_pore*L$6*($A15/100))/(1-L$6*(1+((1-phimax_pore)/phimax_pore^2)*($A15/100))*($A15/100))</f>
        <v>0.177109653336329</v>
      </c>
      <c r="M15" s="9" t="n">
        <f aca="false">M$5*(1+A_pore*M$6*($A15/100))/(1-M$6*(1+((1-phimax_pore)/phimax_pore^2)*($A15/100))*($A15/100))</f>
        <v>0.186569350301963</v>
      </c>
      <c r="N15" s="9" t="n">
        <f aca="false">N$5*(1+A_pore*N$6*($A15/100))/(1-N$6*(1+((1-phimax_pore)/phimax_pore^2)*($A15/100))*($A15/100))</f>
        <v>0.196571601603762</v>
      </c>
      <c r="O15" s="9" t="n">
        <f aca="false">O$5*(1+A_pore*O$6*($A15/100))/(1-O$6*(1+((1-phimax_pore)/phimax_pore^2)*($A15/100))*($A15/100))</f>
        <v>0.207185760936767</v>
      </c>
      <c r="P15" s="9" t="n">
        <f aca="false">P$5*(1+A_pore*P$6*($A15/100))/(1-P$6*(1+((1-phimax_pore)/phimax_pore^2)*($A15/100))*($A15/100))</f>
        <v>0.218492765566387</v>
      </c>
      <c r="Q15" s="9" t="n">
        <f aca="false">Q$5*(1+A_pore*Q$6*($A15/100))/(1-Q$6*(1+((1-phimax_pore)/phimax_pore^2)*($A15/100))*($A15/100))</f>
        <v>0.230587725153922</v>
      </c>
      <c r="R15" s="9" t="n">
        <f aca="false">R$5*(1+A_pore*R$6*($A15/100))/(1-R$6*(1+((1-phimax_pore)/phimax_pore^2)*($A15/100))*($A15/100))</f>
        <v>0.24358323387985</v>
      </c>
      <c r="S15" s="9" t="n">
        <f aca="false">S$5*(1+A_pore*S$6*($A15/100))/(1-S$6*(1+((1-phimax_pore)/phimax_pore^2)*($A15/100))*($A15/100))</f>
        <v>0.257613653650555</v>
      </c>
      <c r="T15" s="9" t="n">
        <f aca="false">T$5*(1+A_pore*T$6*($A15/100))/(1-T$6*(1+((1-phimax_pore)/phimax_pore^2)*($A15/100))*($A15/100))</f>
        <v>0.272840718150937</v>
      </c>
      <c r="U15" s="9" t="n">
        <f aca="false">U$5*(1+A_pore*U$6*($A15/100))/(1-U$6*(1+((1-phimax_pore)/phimax_pore^2)*($A15/100))*($A15/100))</f>
        <v>0.289460959264463</v>
      </c>
      <c r="V15" s="9" t="n">
        <f aca="false">V$5*(1+A_pore*V$6*($A15/100))/(1-V$6*(1+((1-phimax_pore)/phimax_pore^2)*($A15/100))*($A15/100))</f>
        <v>0.307715687474872</v>
      </c>
      <c r="W15" s="9" t="n">
        <f aca="false">W$5*(1+A_pore*W$6*($A15/100))/(1-W$6*(1+((1-phimax_pore)/phimax_pore^2)*($A15/100))*($A15/100))</f>
        <v>0.327904613949061</v>
      </c>
      <c r="X15" s="9" t="n">
        <f aca="false">X$5*(1+A_pore*X$6*($A15/100))/(1-X$6*(1+((1-phimax_pore)/phimax_pore^2)*($A15/100))*($A15/100))</f>
        <v>0.350404765700681</v>
      </c>
      <c r="Y15" s="9" t="n">
        <f aca="false">Y$5*(1+A_pore*Y$6*($A15/100))/(1-Y$6*(1+((1-phimax_pore)/phimax_pore^2)*($A15/100))*($A15/100))</f>
        <v>0.37569726036468</v>
      </c>
      <c r="Z15" s="9" t="n">
        <f aca="false">Z$5*(1+A_pore*Z$6*($A15/100))/(1-Z$6*(1+((1-phimax_pore)/phimax_pore^2)*($A15/100))*($A15/100))</f>
        <v>0.404406035231667</v>
      </c>
      <c r="AA15" s="9" t="n">
        <f aca="false">AA$5*(1+A_pore*AA$6*($A15/100))/(1-AA$6*(1+((1-phimax_pore)/phimax_pore^2)*($A15/100))*($A15/100))</f>
        <v>0.437355259207673</v>
      </c>
      <c r="AB15" s="9" t="n">
        <f aca="false">AB$5*(1+A_pore*AB$6*($A15/100))/(1-AB$6*(1+((1-phimax_pore)/phimax_pore^2)*($A15/100))*($A15/100))</f>
        <v>0.47565686330451</v>
      </c>
      <c r="AC15" s="9" t="n">
        <f aca="false">AC$5*(1+A_pore*AC$6*($A15/100))/(1-AC$6*(1+((1-phimax_pore)/phimax_pore^2)*($A15/100))*($A15/100))</f>
        <v>0.520848391431419</v>
      </c>
      <c r="AD15" s="9" t="n">
        <f aca="false">AD$5*(1+A_pore*AD$6*($A15/100))/(1-AD$6*(1+((1-phimax_pore)/phimax_pore^2)*($A15/100))*($A15/100))</f>
        <v>0.575118500461836</v>
      </c>
      <c r="AE15" s="9" t="n">
        <f aca="false">AE$5*(1+A_pore*AE$6*($A15/100))/(1-AE$6*(1+((1-phimax_pore)/phimax_pore^2)*($A15/100))*($A15/100))</f>
        <v>0.641692837831988</v>
      </c>
      <c r="AF15" s="9" t="n">
        <f aca="false">AF$5*(1+A_pore*AF$6*($A15/100))/(1-AF$6*(1+((1-phimax_pore)/phimax_pore^2)*($A15/100))*($A15/100))</f>
        <v>0.725531268475371</v>
      </c>
      <c r="AG15" s="9" t="n">
        <f aca="false">AG$5*(1+A_pore*AG$6*($A15/100))/(1-AG$6*(1+((1-phimax_pore)/phimax_pore^2)*($A15/100))*($A15/100))</f>
        <v>0.834675079564556</v>
      </c>
      <c r="AH15" s="9" t="n">
        <f aca="false">AH$5*(1+A_pore*AH$6*($A15/100))/(1-AH$6*(1+((1-phimax_pore)/phimax_pore^2)*($A15/100))*($A15/100))</f>
        <v>0.983081133327319</v>
      </c>
      <c r="AI15" s="9" t="n">
        <f aca="false">AI$5*(1+A_pore*AI$6*($A15/100))/(1-AI$6*(1+((1-phimax_pore)/phimax_pore^2)*($A15/100))*($A15/100))</f>
        <v>1.19728932438643</v>
      </c>
      <c r="AJ15" s="9" t="n">
        <f aca="false">AJ$5*(1+A_pore*AJ$6*($A15/100))/(1-AJ$6*(1+((1-phimax_pore)/phimax_pore^2)*($A15/100))*($A15/100))</f>
        <v>1.53473256225781</v>
      </c>
      <c r="AK15" s="9" t="n">
        <f aca="false">AK$5*(1+A_pore*AK$6*($A15/100))/(1-AK$6*(1+((1-phimax_pore)/phimax_pore^2)*($A15/100))*($A15/100))</f>
        <v>2.14714367827997</v>
      </c>
    </row>
    <row r="16" customFormat="false" ht="15" hidden="false" customHeight="false" outlineLevel="0" collapsed="false">
      <c r="A16" s="4" t="n">
        <v>7</v>
      </c>
      <c r="B16" s="9" t="n">
        <f aca="false">B$5*(1+A_pore*B$6*($A16/100))/(1-B$6*(1+((1-phimax_pore)/phimax_pore^2)*($A16/100))*($A16/100))</f>
        <v>0.0997715296741408</v>
      </c>
      <c r="C16" s="9" t="n">
        <f aca="false">C$5*(1+A_pore*C$6*($A16/100))/(1-C$6*(1+((1-phimax_pore)/phimax_pore^2)*($A16/100))*($A16/100))</f>
        <v>0.105809122016903</v>
      </c>
      <c r="D16" s="9" t="n">
        <f aca="false">D$5*(1+A_pore*D$6*($A16/100))/(1-D$6*(1+((1-phimax_pore)/phimax_pore^2)*($A16/100))*($A16/100))</f>
        <v>0.112009865418953</v>
      </c>
      <c r="E16" s="9" t="n">
        <f aca="false">E$5*(1+A_pore*E$6*($A16/100))/(1-E$6*(1+((1-phimax_pore)/phimax_pore^2)*($A16/100))*($A16/100))</f>
        <v>0.118392842598477</v>
      </c>
      <c r="F16" s="9" t="n">
        <f aca="false">F$5*(1+A_pore*F$6*($A16/100))/(1-F$6*(1+((1-phimax_pore)/phimax_pore^2)*($A16/100))*($A16/100))</f>
        <v>0.124979075890389</v>
      </c>
      <c r="G16" s="9" t="n">
        <f aca="false">G$5*(1+A_pore*G$6*($A16/100))/(1-G$6*(1+((1-phimax_pore)/phimax_pore^2)*($A16/100))*($A16/100))</f>
        <v>0.13179184926661</v>
      </c>
      <c r="H16" s="9" t="n">
        <f aca="false">H$5*(1+A_pore*H$6*($A16/100))/(1-H$6*(1+((1-phimax_pore)/phimax_pore^2)*($A16/100))*($A16/100))</f>
        <v>0.138857089535818</v>
      </c>
      <c r="I16" s="9" t="n">
        <f aca="false">I$5*(1+A_pore*I$6*($A16/100))/(1-I$6*(1+((1-phimax_pore)/phimax_pore^2)*($A16/100))*($A16/100))</f>
        <v>0.14620382054961</v>
      </c>
      <c r="J16" s="9" t="n">
        <f aca="false">J$5*(1+A_pore*J$6*($A16/100))/(1-J$6*(1+((1-phimax_pore)/phimax_pore^2)*($A16/100))*($A16/100))</f>
        <v>0.153864707972719</v>
      </c>
      <c r="K16" s="9" t="n">
        <f aca="false">K$5*(1+A_pore*K$6*($A16/100))/(1-K$6*(1+((1-phimax_pore)/phimax_pore^2)*($A16/100))*($A16/100))</f>
        <v>0.161876717089687</v>
      </c>
      <c r="L16" s="9" t="n">
        <f aca="false">L$5*(1+A_pore*L$6*($A16/100))/(1-L$6*(1+((1-phimax_pore)/phimax_pore^2)*($A16/100))*($A16/100))</f>
        <v>0.170281912650244</v>
      </c>
      <c r="M16" s="9" t="n">
        <f aca="false">M$5*(1+A_pore*M$6*($A16/100))/(1-M$6*(1+((1-phimax_pore)/phimax_pore^2)*($A16/100))*($A16/100))</f>
        <v>0.179128438511132</v>
      </c>
      <c r="N16" s="9" t="n">
        <f aca="false">N$5*(1+A_pore*N$6*($A16/100))/(1-N$6*(1+((1-phimax_pore)/phimax_pore^2)*($A16/100))*($A16/100))</f>
        <v>0.188471726687826</v>
      </c>
      <c r="O16" s="9" t="n">
        <f aca="false">O$5*(1+A_pore*O$6*($A16/100))/(1-O$6*(1+((1-phimax_pore)/phimax_pore^2)*($A16/100))*($A16/100))</f>
        <v>0.19837600165382</v>
      </c>
      <c r="P16" s="9" t="n">
        <f aca="false">P$5*(1+A_pore*P$6*($A16/100))/(1-P$6*(1+((1-phimax_pore)/phimax_pore^2)*($A16/100))*($A16/100))</f>
        <v>0.208916168181694</v>
      </c>
      <c r="Q16" s="9" t="n">
        <f aca="false">Q$5*(1+A_pore*Q$6*($A16/100))/(1-Q$6*(1+((1-phimax_pore)/phimax_pore^2)*($A16/100))*($A16/100))</f>
        <v>0.220180202486394</v>
      </c>
      <c r="R16" s="9" t="n">
        <f aca="false">R$5*(1+A_pore*R$6*($A16/100))/(1-R$6*(1+((1-phimax_pore)/phimax_pore^2)*($A16/100))*($A16/100))</f>
        <v>0.232272211109931</v>
      </c>
      <c r="S16" s="9" t="n">
        <f aca="false">S$5*(1+A_pore*S$6*($A16/100))/(1-S$6*(1+((1-phimax_pore)/phimax_pore^2)*($A16/100))*($A16/100))</f>
        <v>0.245316386343029</v>
      </c>
      <c r="T16" s="9" t="n">
        <f aca="false">T$5*(1+A_pore*T$6*($A16/100))/(1-T$6*(1+((1-phimax_pore)/phimax_pore^2)*($A16/100))*($A16/100))</f>
        <v>0.259462181137056</v>
      </c>
      <c r="U16" s="9" t="n">
        <f aca="false">U$5*(1+A_pore*U$6*($A16/100))/(1-U$6*(1+((1-phimax_pore)/phimax_pore^2)*($A16/100))*($A16/100))</f>
        <v>0.274891166583452</v>
      </c>
      <c r="V16" s="9" t="n">
        <f aca="false">V$5*(1+A_pore*V$6*($A16/100))/(1-V$6*(1+((1-phimax_pore)/phimax_pore^2)*($A16/100))*($A16/100))</f>
        <v>0.291826247490092</v>
      </c>
      <c r="W16" s="9" t="n">
        <f aca="false">W$5*(1+A_pore*W$6*($A16/100))/(1-W$6*(1+((1-phimax_pore)/phimax_pore^2)*($A16/100))*($A16/100))</f>
        <v>0.310544240370223</v>
      </c>
      <c r="X16" s="9" t="n">
        <f aca="false">X$5*(1+A_pore*X$6*($A16/100))/(1-X$6*(1+((1-phimax_pore)/phimax_pore^2)*($A16/100))*($A16/100))</f>
        <v>0.331393338644403</v>
      </c>
      <c r="Y16" s="9" t="n">
        <f aca="false">Y$5*(1+A_pore*Y$6*($A16/100))/(1-Y$6*(1+((1-phimax_pore)/phimax_pore^2)*($A16/100))*($A16/100))</f>
        <v>0.354817834830265</v>
      </c>
      <c r="Z16" s="9" t="n">
        <f aca="false">Z$5*(1+A_pore*Z$6*($A16/100))/(1-Z$6*(1+((1-phimax_pore)/phimax_pore^2)*($A16/100))*($A16/100))</f>
        <v>0.381393880464737</v>
      </c>
      <c r="AA16" s="9" t="n">
        <f aca="false">AA$5*(1+A_pore*AA$6*($A16/100))/(1-AA$6*(1+((1-phimax_pore)/phimax_pore^2)*($A16/100))*($A16/100))</f>
        <v>0.411882496591608</v>
      </c>
      <c r="AB16" s="9" t="n">
        <f aca="false">AB$5*(1+A_pore*AB$6*($A16/100))/(1-AB$6*(1+((1-phimax_pore)/phimax_pore^2)*($A16/100))*($A16/100))</f>
        <v>0.447310393745565</v>
      </c>
      <c r="AC16" s="9" t="n">
        <f aca="false">AC$5*(1+A_pore*AC$6*($A16/100))/(1-AC$6*(1+((1-phimax_pore)/phimax_pore^2)*($A16/100))*($A16/100))</f>
        <v>0.489097254502487</v>
      </c>
      <c r="AD16" s="9" t="n">
        <f aca="false">AD$5*(1+A_pore*AD$6*($A16/100))/(1-AD$6*(1+((1-phimax_pore)/phimax_pore^2)*($A16/100))*($A16/100))</f>
        <v>0.539263945874481</v>
      </c>
      <c r="AE16" s="9" t="n">
        <f aca="false">AE$5*(1+A_pore*AE$6*($A16/100))/(1-AE$6*(1+((1-phimax_pore)/phimax_pore^2)*($A16/100))*($A16/100))</f>
        <v>0.60078881435629</v>
      </c>
      <c r="AF16" s="9" t="n">
        <f aca="false">AF$5*(1+A_pore*AF$6*($A16/100))/(1-AF$6*(1+((1-phimax_pore)/phimax_pore^2)*($A16/100))*($A16/100))</f>
        <v>0.67825146172809</v>
      </c>
      <c r="AG16" s="9" t="n">
        <f aca="false">AG$5*(1+A_pore*AG$6*($A16/100))/(1-AG$6*(1+((1-phimax_pore)/phimax_pore^2)*($A16/100))*($A16/100))</f>
        <v>0.779076670393984</v>
      </c>
      <c r="AH16" s="9" t="n">
        <f aca="false">AH$5*(1+A_pore*AH$6*($A16/100))/(1-AH$6*(1+((1-phimax_pore)/phimax_pore^2)*($A16/100))*($A16/100))</f>
        <v>0.916151285334754</v>
      </c>
      <c r="AI16" s="9" t="n">
        <f aca="false">AI$5*(1+A_pore*AI$6*($A16/100))/(1-AI$6*(1+((1-phimax_pore)/phimax_pore^2)*($A16/100))*($A16/100))</f>
        <v>1.11398053453786</v>
      </c>
      <c r="AJ16" s="9" t="n">
        <f aca="false">AJ$5*(1+A_pore*AJ$6*($A16/100))/(1-AJ$6*(1+((1-phimax_pore)/phimax_pore^2)*($A16/100))*($A16/100))</f>
        <v>1.42559434408765</v>
      </c>
      <c r="AK16" s="9" t="n">
        <f aca="false">AK$5*(1+A_pore*AK$6*($A16/100))/(1-AK$6*(1+((1-phimax_pore)/phimax_pore^2)*($A16/100))*($A16/100))</f>
        <v>1.99109339192293</v>
      </c>
      <c r="AN16" s="7" t="s">
        <v>141</v>
      </c>
    </row>
    <row r="17" customFormat="false" ht="15" hidden="false" customHeight="false" outlineLevel="0" collapsed="false">
      <c r="A17" s="4" t="n">
        <v>8</v>
      </c>
      <c r="B17" s="9" t="n">
        <f aca="false">B$5*(1+A_pore*B$6*($A17/100))/(1-B$6*(1+((1-phimax_pore)/phimax_pore^2)*($A17/100))*($A17/100))</f>
        <v>0.0973842820211107</v>
      </c>
      <c r="C17" s="9" t="n">
        <f aca="false">C$5*(1+A_pore*C$6*($A17/100))/(1-C$6*(1+((1-phimax_pore)/phimax_pore^2)*($A17/100))*($A17/100))</f>
        <v>0.103124240076924</v>
      </c>
      <c r="D17" s="9" t="n">
        <f aca="false">D$5*(1+A_pore*D$6*($A17/100))/(1-D$6*(1+((1-phimax_pore)/phimax_pore^2)*($A17/100))*($A17/100))</f>
        <v>0.109008541332651</v>
      </c>
      <c r="E17" s="9" t="n">
        <f aca="false">E$5*(1+A_pore*E$6*($A17/100))/(1-E$6*(1+((1-phimax_pore)/phimax_pore^2)*($A17/100))*($A17/100))</f>
        <v>0.115055308632404</v>
      </c>
      <c r="F17" s="9" t="n">
        <f aca="false">F$5*(1+A_pore*F$6*($A17/100))/(1-F$6*(1+((1-phimax_pore)/phimax_pore^2)*($A17/100))*($A17/100))</f>
        <v>0.121284428790809</v>
      </c>
      <c r="G17" s="9" t="n">
        <f aca="false">G$5*(1+A_pore*G$6*($A17/100))/(1-G$6*(1+((1-phimax_pore)/phimax_pore^2)*($A17/100))*($A17/100))</f>
        <v>0.127717854244117</v>
      </c>
      <c r="H17" s="9" t="n">
        <f aca="false">H$5*(1+A_pore*H$6*($A17/100))/(1-H$6*(1+((1-phimax_pore)/phimax_pore^2)*($A17/100))*($A17/100))</f>
        <v>0.134379959251512</v>
      </c>
      <c r="I17" s="9" t="n">
        <f aca="false">I$5*(1+A_pore*I$6*($A17/100))/(1-I$6*(1+((1-phimax_pore)/phimax_pore^2)*($A17/100))*($A17/100))</f>
        <v>0.141297963506389</v>
      </c>
      <c r="J17" s="9" t="n">
        <f aca="false">J$5*(1+A_pore*J$6*($A17/100))/(1-J$6*(1+((1-phimax_pore)/phimax_pore^2)*($A17/100))*($A17/100))</f>
        <v>0.148502439472011</v>
      </c>
      <c r="K17" s="9" t="n">
        <f aca="false">K$5*(1+A_pore*K$6*($A17/100))/(1-K$6*(1+((1-phimax_pore)/phimax_pore^2)*($A17/100))*($A17/100))</f>
        <v>0.156027924309335</v>
      </c>
      <c r="L17" s="9" t="n">
        <f aca="false">L$5*(1+A_pore*L$6*($A17/100))/(1-L$6*(1+((1-phimax_pore)/phimax_pore^2)*($A17/100))*($A17/100))</f>
        <v>0.163913663316489</v>
      </c>
      <c r="M17" s="9" t="n">
        <f aca="false">M$5*(1+A_pore*M$6*($A17/100))/(1-M$6*(1+((1-phimax_pore)/phimax_pore^2)*($A17/100))*($A17/100))</f>
        <v>0.172204519915539</v>
      </c>
      <c r="N17" s="9" t="n">
        <f aca="false">N$5*(1+A_pore*N$6*($A17/100))/(1-N$6*(1+((1-phimax_pore)/phimax_pore^2)*($A17/100))*($A17/100))</f>
        <v>0.18095209821373</v>
      </c>
      <c r="O17" s="9" t="n">
        <f aca="false">O$5*(1+A_pore*O$6*($A17/100))/(1-O$6*(1+((1-phimax_pore)/phimax_pore^2)*($A17/100))*($A17/100))</f>
        <v>0.190216139209419</v>
      </c>
      <c r="P17" s="9" t="n">
        <f aca="false">P$5*(1+A_pore*P$6*($A17/100))/(1-P$6*(1+((1-phimax_pore)/phimax_pore^2)*($A17/100))*($A17/100))</f>
        <v>0.200066272535807</v>
      </c>
      <c r="Q17" s="9" t="n">
        <f aca="false">Q$5*(1+A_pore*Q$6*($A17/100))/(1-Q$6*(1+((1-phimax_pore)/phimax_pore^2)*($A17/100))*($A17/100))</f>
        <v>0.210584234813792</v>
      </c>
      <c r="R17" s="9" t="n">
        <f aca="false">R$5*(1+A_pore*R$6*($A17/100))/(1-R$6*(1+((1-phimax_pore)/phimax_pore^2)*($A17/100))*($A17/100))</f>
        <v>0.221866707116408</v>
      </c>
      <c r="S17" s="9" t="n">
        <f aca="false">S$5*(1+A_pore*S$6*($A17/100))/(1-S$6*(1+((1-phimax_pore)/phimax_pore^2)*($A17/100))*($A17/100))</f>
        <v>0.234028983726512</v>
      </c>
      <c r="T17" s="9" t="n">
        <f aca="false">T$5*(1+A_pore*T$6*($A17/100))/(1-T$6*(1+((1-phimax_pore)/phimax_pore^2)*($A17/100))*($A17/100))</f>
        <v>0.247209771685211</v>
      </c>
      <c r="U17" s="9" t="n">
        <f aca="false">U$5*(1+A_pore*U$6*($A17/100))/(1-U$6*(1+((1-phimax_pore)/phimax_pore^2)*($A17/100))*($A17/100))</f>
        <v>0.261577550571026</v>
      </c>
      <c r="V17" s="9" t="n">
        <f aca="false">V$5*(1+A_pore*V$6*($A17/100))/(1-V$6*(1+((1-phimax_pore)/phimax_pore^2)*($A17/100))*($A17/100))</f>
        <v>0.277339118966088</v>
      </c>
      <c r="W17" s="9" t="n">
        <f aca="false">W$5*(1+A_pore*W$6*($A17/100))/(1-W$6*(1+((1-phimax_pore)/phimax_pore^2)*($A17/100))*($A17/100))</f>
        <v>0.29475125896432</v>
      </c>
      <c r="X17" s="9" t="n">
        <f aca="false">X$5*(1+A_pore*X$6*($A17/100))/(1-X$6*(1+((1-phimax_pore)/phimax_pore^2)*($A17/100))*($A17/100))</f>
        <v>0.314136932746921</v>
      </c>
      <c r="Y17" s="9" t="n">
        <f aca="false">Y$5*(1+A_pore*Y$6*($A17/100))/(1-Y$6*(1+((1-phimax_pore)/phimax_pore^2)*($A17/100))*($A17/100))</f>
        <v>0.335908208836325</v>
      </c>
      <c r="Z17" s="9" t="n">
        <f aca="false">Z$5*(1+A_pore*Z$6*($A17/100))/(1-Z$6*(1+((1-phimax_pore)/phimax_pore^2)*($A17/100))*($A17/100))</f>
        <v>0.360599424101362</v>
      </c>
      <c r="AA17" s="9" t="n">
        <f aca="false">AA$5*(1+A_pore*AA$6*($A17/100))/(1-AA$6*(1+((1-phimax_pore)/phimax_pore^2)*($A17/100))*($A17/100))</f>
        <v>0.388916342982192</v>
      </c>
      <c r="AB17" s="9" t="n">
        <f aca="false">AB$5*(1+A_pore*AB$6*($A17/100))/(1-AB$6*(1+((1-phimax_pore)/phimax_pore^2)*($A17/100))*($A17/100))</f>
        <v>0.421811105756392</v>
      </c>
      <c r="AC17" s="9" t="n">
        <f aca="false">AC$5*(1+A_pore*AC$6*($A17/100))/(1-AC$6*(1+((1-phimax_pore)/phimax_pore^2)*($A17/100))*($A17/100))</f>
        <v>0.460600263765551</v>
      </c>
      <c r="AD17" s="9" t="n">
        <f aca="false">AD$5*(1+A_pore*AD$6*($A17/100))/(1-AD$6*(1+((1-phimax_pore)/phimax_pore^2)*($A17/100))*($A17/100))</f>
        <v>0.50715786482651</v>
      </c>
      <c r="AE17" s="9" t="n">
        <f aca="false">AE$5*(1+A_pore*AE$6*($A17/100))/(1-AE$6*(1+((1-phimax_pore)/phimax_pore^2)*($A17/100))*($A17/100))</f>
        <v>0.56424586297385</v>
      </c>
      <c r="AF17" s="9" t="n">
        <f aca="false">AF$5*(1+A_pore*AF$6*($A17/100))/(1-AF$6*(1+((1-phimax_pore)/phimax_pore^2)*($A17/100))*($A17/100))</f>
        <v>0.63611112335516</v>
      </c>
      <c r="AG17" s="9" t="n">
        <f aca="false">AG$5*(1+A_pore*AG$6*($A17/100))/(1-AG$6*(1+((1-phimax_pore)/phimax_pore^2)*($A17/100))*($A17/100))</f>
        <v>0.729638975656676</v>
      </c>
      <c r="AH17" s="9" t="n">
        <f aca="false">AH$5*(1+A_pore*AH$6*($A17/100))/(1-AH$6*(1+((1-phimax_pore)/phimax_pore^2)*($A17/100))*($A17/100))</f>
        <v>0.85677997868226</v>
      </c>
      <c r="AI17" s="9" t="n">
        <f aca="false">AI$5*(1+A_pore*AI$6*($A17/100))/(1-AI$6*(1+((1-phimax_pore)/phimax_pore^2)*($A17/100))*($A17/100))</f>
        <v>1.04025898300519</v>
      </c>
      <c r="AJ17" s="9" t="n">
        <f aca="false">AJ$5*(1+A_pore*AJ$6*($A17/100))/(1-AJ$6*(1+((1-phimax_pore)/phimax_pore^2)*($A17/100))*($A17/100))</f>
        <v>1.32925320088651</v>
      </c>
      <c r="AK17" s="9" t="n">
        <f aca="false">AK$5*(1+A_pore*AK$6*($A17/100))/(1-AK$6*(1+((1-phimax_pore)/phimax_pore^2)*($A17/100))*($A17/100))</f>
        <v>1.85368488727708</v>
      </c>
      <c r="AN17" s="7" t="s">
        <v>142</v>
      </c>
    </row>
    <row r="18" customFormat="false" ht="15" hidden="false" customHeight="false" outlineLevel="0" collapsed="false">
      <c r="A18" s="4" t="n">
        <v>9</v>
      </c>
      <c r="B18" s="9" t="n">
        <f aca="false">B$5*(1+A_pore*B$6*($A18/100))/(1-B$6*(1+((1-phimax_pore)/phimax_pore^2)*($A18/100))*($A18/100))</f>
        <v>0.0950986204568471</v>
      </c>
      <c r="C18" s="9" t="n">
        <f aca="false">C$5*(1+A_pore*C$6*($A18/100))/(1-C$6*(1+((1-phimax_pore)/phimax_pore^2)*($A18/100))*($A18/100))</f>
        <v>0.100560265934651</v>
      </c>
      <c r="D18" s="9" t="n">
        <f aca="false">D$5*(1+A_pore*D$6*($A18/100))/(1-D$6*(1+((1-phimax_pore)/phimax_pore^2)*($A18/100))*($A18/100))</f>
        <v>0.106149638503324</v>
      </c>
      <c r="E18" s="9" t="n">
        <f aca="false">E$5*(1+A_pore*E$6*($A18/100))/(1-E$6*(1+((1-phimax_pore)/phimax_pore^2)*($A18/100))*($A18/100))</f>
        <v>0.111884042341731</v>
      </c>
      <c r="F18" s="9" t="n">
        <f aca="false">F$5*(1+A_pore*F$6*($A18/100))/(1-F$6*(1+((1-phimax_pore)/phimax_pore^2)*($A18/100))*($A18/100))</f>
        <v>0.117782386021491</v>
      </c>
      <c r="G18" s="9" t="n">
        <f aca="false">G$5*(1+A_pore*G$6*($A18/100))/(1-G$6*(1+((1-phimax_pore)/phimax_pore^2)*($A18/100))*($A18/100))</f>
        <v>0.123865466827443</v>
      </c>
      <c r="H18" s="9" t="n">
        <f aca="false">H$5*(1+A_pore*H$6*($A18/100))/(1-H$6*(1+((1-phimax_pore)/phimax_pore^2)*($A18/100))*($A18/100))</f>
        <v>0.13015630545494</v>
      </c>
      <c r="I18" s="9" t="n">
        <f aca="false">I$5*(1+A_pore*I$6*($A18/100))/(1-I$6*(1+((1-phimax_pore)/phimax_pore^2)*($A18/100))*($A18/100))</f>
        <v>0.136680543103725</v>
      </c>
      <c r="J18" s="9" t="n">
        <f aca="false">J$5*(1+A_pore*J$6*($A18/100))/(1-J$6*(1+((1-phimax_pore)/phimax_pore^2)*($A18/100))*($A18/100))</f>
        <v>0.143466916197149</v>
      </c>
      <c r="K18" s="9" t="n">
        <f aca="false">K$5*(1+A_pore*K$6*($A18/100))/(1-K$6*(1+((1-phimax_pore)/phimax_pore^2)*($A18/100))*($A18/100))</f>
        <v>0.150547828188185</v>
      </c>
      <c r="L18" s="9" t="n">
        <f aca="false">L$5*(1+A_pore*L$6*($A18/100))/(1-L$6*(1+((1-phimax_pore)/phimax_pore^2)*($A18/100))*($A18/100))</f>
        <v>0.157960043542127</v>
      </c>
      <c r="M18" s="9" t="n">
        <f aca="false">M$5*(1+A_pore*M$6*($A18/100))/(1-M$6*(1+((1-phimax_pore)/phimax_pore^2)*($A18/100))*($A18/100))</f>
        <v>0.165745536536638</v>
      </c>
      <c r="N18" s="9" t="n">
        <f aca="false">N$5*(1+A_pore*N$6*($A18/100))/(1-N$6*(1+((1-phimax_pore)/phimax_pore^2)*($A18/100))*($A18/100))</f>
        <v>0.173952537747858</v>
      </c>
      <c r="O18" s="9" t="n">
        <f aca="false">O$5*(1+A_pore*O$6*($A18/100))/(1-O$6*(1+((1-phimax_pore)/phimax_pore^2)*($A18/100))*($A18/100))</f>
        <v>0.182636835091288</v>
      </c>
      <c r="P18" s="9" t="n">
        <f aca="false">P$5*(1+A_pore*P$6*($A18/100))/(1-P$6*(1+((1-phimax_pore)/phimax_pore^2)*($A18/100))*($A18/100))</f>
        <v>0.191863405666797</v>
      </c>
      <c r="Q18" s="9" t="n">
        <f aca="false">Q$5*(1+A_pore*Q$6*($A18/100))/(1-Q$6*(1+((1-phimax_pore)/phimax_pore^2)*($A18/100))*($A18/100))</f>
        <v>0.201708481815984</v>
      </c>
      <c r="R18" s="9" t="n">
        <f aca="false">R$5*(1+A_pore*R$6*($A18/100))/(1-R$6*(1+((1-phimax_pore)/phimax_pore^2)*($A18/100))*($A18/100))</f>
        <v>0.21226219336508</v>
      </c>
      <c r="S18" s="9" t="n">
        <f aca="false">S$5*(1+A_pore*S$6*($A18/100))/(1-S$6*(1+((1-phimax_pore)/phimax_pore^2)*($A18/100))*($A18/100))</f>
        <v>0.223631983578518</v>
      </c>
      <c r="T18" s="9" t="n">
        <f aca="false">T$5*(1+A_pore*T$6*($A18/100))/(1-T$6*(1+((1-phimax_pore)/phimax_pore^2)*($A18/100))*($A18/100))</f>
        <v>0.235947077626616</v>
      </c>
      <c r="U18" s="9" t="n">
        <f aca="false">U$5*(1+A_pore*U$6*($A18/100))/(1-U$6*(1+((1-phimax_pore)/phimax_pore^2)*($A18/100))*($A18/100))</f>
        <v>0.249364403329324</v>
      </c>
      <c r="V18" s="9" t="n">
        <f aca="false">V$5*(1+A_pore*V$6*($A18/100))/(1-V$6*(1+((1-phimax_pore)/phimax_pore^2)*($A18/100))*($A18/100))</f>
        <v>0.264076547333923</v>
      </c>
      <c r="W18" s="9" t="n">
        <f aca="false">W$5*(1+A_pore*W$6*($A18/100))/(1-W$6*(1+((1-phimax_pore)/phimax_pore^2)*($A18/100))*($A18/100))</f>
        <v>0.280322613705371</v>
      </c>
      <c r="X18" s="9" t="n">
        <f aca="false">X$5*(1+A_pore*X$6*($A18/100))/(1-X$6*(1+((1-phimax_pore)/phimax_pore^2)*($A18/100))*($A18/100))</f>
        <v>0.29840330121197</v>
      </c>
      <c r="Y18" s="9" t="n">
        <f aca="false">Y$5*(1+A_pore*Y$6*($A18/100))/(1-Y$6*(1+((1-phimax_pore)/phimax_pore^2)*($A18/100))*($A18/100))</f>
        <v>0.318702245007281</v>
      </c>
      <c r="Z18" s="9" t="n">
        <f aca="false">Z$5*(1+A_pore*Z$6*($A18/100))/(1-Z$6*(1+((1-phimax_pore)/phimax_pore^2)*($A18/100))*($A18/100))</f>
        <v>0.34171688642056</v>
      </c>
      <c r="AA18" s="9" t="n">
        <f aca="false">AA$5*(1+A_pore*AA$6*($A18/100))/(1-AA$6*(1+((1-phimax_pore)/phimax_pore^2)*($A18/100))*($A18/100))</f>
        <v>0.368104234055511</v>
      </c>
      <c r="AB18" s="9" t="n">
        <f aca="false">AB$5*(1+A_pore*AB$6*($A18/100))/(1-AB$6*(1+((1-phimax_pore)/phimax_pore^2)*($A18/100))*($A18/100))</f>
        <v>0.398750631145383</v>
      </c>
      <c r="AC18" s="9" t="n">
        <f aca="false">AC$5*(1+A_pore*AC$6*($A18/100))/(1-AC$6*(1+((1-phimax_pore)/phimax_pore^2)*($A18/100))*($A18/100))</f>
        <v>0.434881631340458</v>
      </c>
      <c r="AD18" s="9" t="n">
        <f aca="false">AD$5*(1+A_pore*AD$6*($A18/100))/(1-AD$6*(1+((1-phimax_pore)/phimax_pore^2)*($A18/100))*($A18/100))</f>
        <v>0.478241736649044</v>
      </c>
      <c r="AE18" s="9" t="n">
        <f aca="false">AE$5*(1+A_pore*AE$6*($A18/100))/(1-AE$6*(1+((1-phimax_pore)/phimax_pore^2)*($A18/100))*($A18/100))</f>
        <v>0.531401966892108</v>
      </c>
      <c r="AF18" s="9" t="n">
        <f aca="false">AF$5*(1+A_pore*AF$6*($A18/100))/(1-AF$6*(1+((1-phimax_pore)/phimax_pore^2)*($A18/100))*($A18/100))</f>
        <v>0.598315595472275</v>
      </c>
      <c r="AG18" s="9" t="n">
        <f aca="false">AG$5*(1+A_pore*AG$6*($A18/100))/(1-AG$6*(1+((1-phimax_pore)/phimax_pore^2)*($A18/100))*($A18/100))</f>
        <v>0.685391961420423</v>
      </c>
      <c r="AH18" s="9" t="n">
        <f aca="false">AH$5*(1+A_pore*AH$6*($A18/100))/(1-AH$6*(1+((1-phimax_pore)/phimax_pore^2)*($A18/100))*($A18/100))</f>
        <v>0.803755480091664</v>
      </c>
      <c r="AI18" s="9" t="n">
        <f aca="false">AI$5*(1+A_pore*AI$6*($A18/100))/(1-AI$6*(1+((1-phimax_pore)/phimax_pore^2)*($A18/100))*($A18/100))</f>
        <v>0.974560058656129</v>
      </c>
      <c r="AJ18" s="9" t="n">
        <f aca="false">AJ$5*(1+A_pore*AJ$6*($A18/100))/(1-AJ$6*(1+((1-phimax_pore)/phimax_pore^2)*($A18/100))*($A18/100))</f>
        <v>1.24358339804106</v>
      </c>
      <c r="AK18" s="9" t="n">
        <f aca="false">AK$5*(1+A_pore*AK$6*($A18/100))/(1-AK$6*(1+((1-phimax_pore)/phimax_pore^2)*($A18/100))*($A18/100))</f>
        <v>1.73176662027502</v>
      </c>
    </row>
    <row r="19" customFormat="false" ht="15" hidden="false" customHeight="false" outlineLevel="0" collapsed="false">
      <c r="A19" s="4" t="n">
        <v>10</v>
      </c>
      <c r="B19" s="9" t="n">
        <f aca="false">B$5*(1+A_pore*B$6*($A19/100))/(1-B$6*(1+((1-phimax_pore)/phimax_pore^2)*($A19/100))*($A19/100))</f>
        <v>0.0929081984589891</v>
      </c>
      <c r="C19" s="9" t="n">
        <f aca="false">C$5*(1+A_pore*C$6*($A19/100))/(1-C$6*(1+((1-phimax_pore)/phimax_pore^2)*($A19/100))*($A19/100))</f>
        <v>0.0981092154063919</v>
      </c>
      <c r="D19" s="9" t="n">
        <f aca="false">D$5*(1+A_pore*D$6*($A19/100))/(1-D$6*(1+((1-phimax_pore)/phimax_pore^2)*($A19/100))*($A19/100))</f>
        <v>0.103423258232831</v>
      </c>
      <c r="E19" s="9" t="n">
        <f aca="false">E$5*(1+A_pore*E$6*($A19/100))/(1-E$6*(1+((1-phimax_pore)/phimax_pore^2)*($A19/100))*($A19/100))</f>
        <v>0.108866925560965</v>
      </c>
      <c r="F19" s="9" t="n">
        <f aca="false">F$5*(1+A_pore*F$6*($A19/100))/(1-F$6*(1+((1-phimax_pore)/phimax_pore^2)*($A19/100))*($A19/100))</f>
        <v>0.114458274467779</v>
      </c>
      <c r="G19" s="9" t="n">
        <f aca="false">G$5*(1+A_pore*G$6*($A19/100))/(1-G$6*(1+((1-phimax_pore)/phimax_pore^2)*($A19/100))*($A19/100))</f>
        <v>0.120217090029943</v>
      </c>
      <c r="H19" s="9" t="n">
        <f aca="false">H$5*(1+A_pore*H$6*($A19/100))/(1-H$6*(1+((1-phimax_pore)/phimax_pore^2)*($A19/100))*($A19/100))</f>
        <v>0.126165201442888</v>
      </c>
      <c r="I19" s="9" t="n">
        <f aca="false">I$5*(1+A_pore*I$6*($A19/100))/(1-I$6*(1+((1-phimax_pore)/phimax_pore^2)*($A19/100))*($A19/100))</f>
        <v>0.132326856001653</v>
      </c>
      <c r="J19" s="9" t="n">
        <f aca="false">J$5*(1+A_pore*J$6*($A19/100))/(1-J$6*(1+((1-phimax_pore)/phimax_pore^2)*($A19/100))*($A19/100))</f>
        <v>0.138729165219687</v>
      </c>
      <c r="K19" s="9" t="n">
        <f aca="false">K$5*(1+A_pore*K$6*($A19/100))/(1-K$6*(1+((1-phimax_pore)/phimax_pore^2)*($A19/100))*($A19/100))</f>
        <v>0.145402641307484</v>
      </c>
      <c r="L19" s="9" t="n">
        <f aca="false">L$5*(1+A_pore*L$6*($A19/100))/(1-L$6*(1+((1-phimax_pore)/phimax_pore^2)*($A19/100))*($A19/100))</f>
        <v>0.152381847483337</v>
      </c>
      <c r="M19" s="9" t="n">
        <f aca="false">M$5*(1+A_pore*M$6*($A19/100))/(1-M$6*(1+((1-phimax_pore)/phimax_pore^2)*($A19/100))*($A19/100))</f>
        <v>0.159706192635405</v>
      </c>
      <c r="N19" s="9" t="n">
        <f aca="false">N$5*(1+A_pore*N$6*($A19/100))/(1-N$6*(1+((1-phimax_pore)/phimax_pore^2)*($A19/100))*($A19/100))</f>
        <v>0.167420910402507</v>
      </c>
      <c r="O19" s="9" t="n">
        <f aca="false">O$5*(1+A_pore*O$6*($A19/100))/(1-O$6*(1+((1-phimax_pore)/phimax_pore^2)*($A19/100))*($A19/100))</f>
        <v>0.175578275812917</v>
      </c>
      <c r="P19" s="9" t="n">
        <f aca="false">P$5*(1+A_pore*P$6*($A19/100))/(1-P$6*(1+((1-phimax_pore)/phimax_pore^2)*($A19/100))*($A19/100))</f>
        <v>0.184239130718379</v>
      </c>
      <c r="Q19" s="9" t="n">
        <f aca="false">Q$5*(1+A_pore*Q$6*($A19/100))/(1-Q$6*(1+((1-phimax_pore)/phimax_pore^2)*($A19/100))*($A19/100))</f>
        <v>0.19347481462367</v>
      </c>
      <c r="R19" s="9" t="n">
        <f aca="false">R$5*(1+A_pore*R$6*($A19/100))/(1-R$6*(1+((1-phimax_pore)/phimax_pore^2)*($A19/100))*($A19/100))</f>
        <v>0.203369633528869</v>
      </c>
      <c r="S19" s="9" t="n">
        <f aca="false">S$5*(1+A_pore*S$6*($A19/100))/(1-S$6*(1+((1-phimax_pore)/phimax_pore^2)*($A19/100))*($A19/100))</f>
        <v>0.214024051284171</v>
      </c>
      <c r="T19" s="9" t="n">
        <f aca="false">T$5*(1+A_pore*T$6*($A19/100))/(1-T$6*(1+((1-phimax_pore)/phimax_pore^2)*($A19/100))*($A19/100))</f>
        <v>0.225558863868338</v>
      </c>
      <c r="U19" s="9" t="n">
        <f aca="false">U$5*(1+A_pore*U$6*($A19/100))/(1-U$6*(1+((1-phimax_pore)/phimax_pore^2)*($A19/100))*($A19/100))</f>
        <v>0.238120729974263</v>
      </c>
      <c r="V19" s="9" t="n">
        <f aca="false">V$5*(1+A_pore*V$6*($A19/100))/(1-V$6*(1+((1-phimax_pore)/phimax_pore^2)*($A19/100))*($A19/100))</f>
        <v>0.251889602573623</v>
      </c>
      <c r="W19" s="9" t="n">
        <f aca="false">W$5*(1+A_pore*W$6*($A19/100))/(1-W$6*(1+((1-phimax_pore)/phimax_pore^2)*($A19/100))*($A19/100))</f>
        <v>0.267088871217217</v>
      </c>
      <c r="X19" s="9" t="n">
        <f aca="false">X$5*(1+A_pore*X$6*($A19/100))/(1-X$6*(1+((1-phimax_pore)/phimax_pore^2)*($A19/100))*($A19/100))</f>
        <v>0.283999444471949</v>
      </c>
      <c r="Y19" s="9" t="n">
        <f aca="false">Y$5*(1+A_pore*Y$6*($A19/100))/(1-Y$6*(1+((1-phimax_pore)/phimax_pore^2)*($A19/100))*($A19/100))</f>
        <v>0.302979683164088</v>
      </c>
      <c r="Z19" s="9" t="n">
        <f aca="false">Z$5*(1+A_pore*Z$6*($A19/100))/(1-Z$6*(1+((1-phimax_pore)/phimax_pore^2)*($A19/100))*($A19/100))</f>
        <v>0.324494232708444</v>
      </c>
      <c r="AA19" s="9" t="n">
        <f aca="false">AA$5*(1+A_pore*AA$6*($A19/100))/(1-AA$6*(1+((1-phimax_pore)/phimax_pore^2)*($A19/100))*($A19/100))</f>
        <v>0.349156763703695</v>
      </c>
      <c r="AB19" s="9" t="n">
        <f aca="false">AB$5*(1+A_pore*AB$6*($A19/100))/(1-AB$6*(1+((1-phimax_pore)/phimax_pore^2)*($A19/100))*($A19/100))</f>
        <v>0.377795134070638</v>
      </c>
      <c r="AC19" s="9" t="n">
        <f aca="false">AC$5*(1+A_pore*AC$6*($A19/100))/(1-AC$6*(1+((1-phimax_pore)/phimax_pore^2)*($A19/100))*($A19/100))</f>
        <v>0.411554012014464</v>
      </c>
      <c r="AD19" s="9" t="n">
        <f aca="false">AD$5*(1+A_pore*AD$6*($A19/100))/(1-AD$6*(1+((1-phimax_pore)/phimax_pore^2)*($A19/100))*($A19/100))</f>
        <v>0.452062749505961</v>
      </c>
      <c r="AE19" s="9" t="n">
        <f aca="false">AE$5*(1+A_pore*AE$6*($A19/100))/(1-AE$6*(1+((1-phimax_pore)/phimax_pore^2)*($A19/100))*($A19/100))</f>
        <v>0.501722649117232</v>
      </c>
      <c r="AF19" s="9" t="n">
        <f aca="false">AF$5*(1+A_pore*AF$6*($A19/100))/(1-AF$6*(1+((1-phimax_pore)/phimax_pore^2)*($A19/100))*($A19/100))</f>
        <v>0.564226015782077</v>
      </c>
      <c r="AG19" s="9" t="n">
        <f aca="false">AG$5*(1+A_pore*AG$6*($A19/100))/(1-AG$6*(1+((1-phimax_pore)/phimax_pore^2)*($A19/100))*($A19/100))</f>
        <v>0.645559086846614</v>
      </c>
      <c r="AH19" s="9" t="n">
        <f aca="false">AH$5*(1+A_pore*AH$6*($A19/100))/(1-AH$6*(1+((1-phimax_pore)/phimax_pore^2)*($A19/100))*($A19/100))</f>
        <v>0.756111926432692</v>
      </c>
      <c r="AI19" s="9" t="n">
        <f aca="false">AI$5*(1+A_pore*AI$6*($A19/100))/(1-AI$6*(1+((1-phimax_pore)/phimax_pore^2)*($A19/100))*($A19/100))</f>
        <v>0.915642039078324</v>
      </c>
      <c r="AJ19" s="9" t="n">
        <f aca="false">AJ$5*(1+A_pore*AJ$6*($A19/100))/(1-AJ$6*(1+((1-phimax_pore)/phimax_pore^2)*($A19/100))*($A19/100))</f>
        <v>1.16690531004229</v>
      </c>
      <c r="AK19" s="9" t="n">
        <f aca="false">AK$5*(1+A_pore*AK$6*($A19/100))/(1-AK$6*(1+((1-phimax_pore)/phimax_pore^2)*($A19/100))*($A19/100))</f>
        <v>1.62285954175519</v>
      </c>
    </row>
    <row r="20" customFormat="false" ht="15" hidden="false" customHeight="false" outlineLevel="0" collapsed="false">
      <c r="A20" s="4" t="n">
        <v>11</v>
      </c>
      <c r="B20" s="9" t="n">
        <f aca="false">B$5*(1+A_pore*B$6*($A20/100))/(1-B$6*(1+((1-phimax_pore)/phimax_pore^2)*($A20/100))*($A20/100))</f>
        <v>0.0908071873790999</v>
      </c>
      <c r="C20" s="9" t="n">
        <f aca="false">C$5*(1+A_pore*C$6*($A20/100))/(1-C$6*(1+((1-phimax_pore)/phimax_pore^2)*($A20/100))*($A20/100))</f>
        <v>0.0957637921505919</v>
      </c>
      <c r="D20" s="9" t="n">
        <f aca="false">D$5*(1+A_pore*D$6*($A20/100))/(1-D$6*(1+((1-phimax_pore)/phimax_pore^2)*($A20/100))*($A20/100))</f>
        <v>0.100820398369006</v>
      </c>
      <c r="E20" s="9" t="n">
        <f aca="false">E$5*(1+A_pore*E$6*($A20/100))/(1-E$6*(1+((1-phimax_pore)/phimax_pore^2)*($A20/100))*($A20/100))</f>
        <v>0.105992989810446</v>
      </c>
      <c r="F20" s="9" t="n">
        <f aca="false">F$5*(1+A_pore*F$6*($A20/100))/(1-F$6*(1+((1-phimax_pore)/phimax_pore^2)*($A20/100))*($A20/100))</f>
        <v>0.111298874551186</v>
      </c>
      <c r="G20" s="9" t="n">
        <f aca="false">G$5*(1+A_pore*G$6*($A20/100))/(1-G$6*(1+((1-phimax_pore)/phimax_pore^2)*($A20/100))*($A20/100))</f>
        <v>0.116756941897542</v>
      </c>
      <c r="H20" s="9" t="n">
        <f aca="false">H$5*(1+A_pore*H$6*($A20/100))/(1-H$6*(1+((1-phimax_pore)/phimax_pore^2)*($A20/100))*($A20/100))</f>
        <v>0.122387962390589</v>
      </c>
      <c r="I20" s="9" t="n">
        <f aca="false">I$5*(1+A_pore*I$6*($A20/100))/(1-I$6*(1+((1-phimax_pore)/phimax_pore^2)*($A20/100))*($A20/100))</f>
        <v>0.128214941535419</v>
      </c>
      <c r="J20" s="9" t="n">
        <f aca="false">J$5*(1+A_pore*J$6*($A20/100))/(1-J$6*(1+((1-phimax_pore)/phimax_pore^2)*($A20/100))*($A20/100))</f>
        <v>0.134263540692236</v>
      </c>
      <c r="K20" s="9" t="n">
        <f aca="false">K$5*(1+A_pore*K$6*($A20/100))/(1-K$6*(1+((1-phimax_pore)/phimax_pore^2)*($A20/100))*($A20/100))</f>
        <v>0.140562582253165</v>
      </c>
      <c r="L20" s="9" t="n">
        <f aca="false">L$5*(1+A_pore*L$6*($A20/100))/(1-L$6*(1+((1-phimax_pore)/phimax_pore^2)*($A20/100))*($A20/100))</f>
        <v>0.147144661138959</v>
      </c>
      <c r="M20" s="9" t="n">
        <f aca="false">M$5*(1+A_pore*M$6*($A20/100))/(1-M$6*(1+((1-phimax_pore)/phimax_pore^2)*($A20/100))*($A20/100))</f>
        <v>0.154046891244281</v>
      </c>
      <c r="N20" s="9" t="n">
        <f aca="false">N$5*(1+A_pore*N$6*($A20/100))/(1-N$6*(1+((1-phimax_pore)/phimax_pore^2)*($A20/100))*($A20/100))</f>
        <v>0.161311824398957</v>
      </c>
      <c r="O20" s="9" t="n">
        <f aca="false">O$5*(1+A_pore*O$6*($A20/100))/(1-O$6*(1+((1-phimax_pore)/phimax_pore^2)*($A20/100))*($A20/100))</f>
        <v>0.168988591652967</v>
      </c>
      <c r="P20" s="9" t="n">
        <f aca="false">P$5*(1+A_pore*P$6*($A20/100))/(1-P$6*(1+((1-phimax_pore)/phimax_pore^2)*($A20/100))*($A20/100))</f>
        <v>0.177134333642347</v>
      </c>
      <c r="Q20" s="9" t="n">
        <f aca="false">Q$5*(1+A_pore*Q$6*($A20/100))/(1-Q$6*(1+((1-phimax_pore)/phimax_pore^2)*($A20/100))*($A20/100))</f>
        <v>0.185816010548898</v>
      </c>
      <c r="R20" s="9" t="n">
        <f aca="false">R$5*(1+A_pore*R$6*($A20/100))/(1-R$6*(1+((1-phimax_pore)/phimax_pore^2)*($A20/100))*($A20/100))</f>
        <v>0.19511271590284</v>
      </c>
      <c r="S20" s="9" t="n">
        <f aca="false">S$5*(1+A_pore*S$6*($A20/100))/(1-S$6*(1+((1-phimax_pore)/phimax_pore^2)*($A20/100))*($A20/100))</f>
        <v>0.205118667076842</v>
      </c>
      <c r="T20" s="9" t="n">
        <f aca="false">T$5*(1+A_pore*T$6*($A20/100))/(1-T$6*(1+((1-phimax_pore)/phimax_pore^2)*($A20/100))*($A20/100))</f>
        <v>0.21594711642852</v>
      </c>
      <c r="U20" s="9" t="n">
        <f aca="false">U$5*(1+A_pore*U$6*($A20/100))/(1-U$6*(1+((1-phimax_pore)/phimax_pore^2)*($A20/100))*($A20/100))</f>
        <v>0.22773553287507</v>
      </c>
      <c r="V20" s="9" t="n">
        <f aca="false">V$5*(1+A_pore*V$6*($A20/100))/(1-V$6*(1+((1-phimax_pore)/phimax_pore^2)*($A20/100))*($A20/100))</f>
        <v>0.24065256413896</v>
      </c>
      <c r="W20" s="9" t="n">
        <f aca="false">W$5*(1+A_pore*W$6*($A20/100))/(1-W$6*(1+((1-phimax_pore)/phimax_pore^2)*($A20/100))*($A20/100))</f>
        <v>0.254907538223901</v>
      </c>
      <c r="X20" s="9" t="n">
        <f aca="false">X$5*(1+A_pore*X$6*($A20/100))/(1-X$6*(1+((1-phimax_pore)/phimax_pore^2)*($A20/100))*($A20/100))</f>
        <v>0.270763655786928</v>
      </c>
      <c r="Y20" s="9" t="n">
        <f aca="false">Y$5*(1+A_pore*Y$6*($A20/100))/(1-Y$6*(1+((1-phimax_pore)/phimax_pore^2)*($A20/100))*($A20/100))</f>
        <v>0.28855666325942</v>
      </c>
      <c r="Z20" s="9" t="n">
        <f aca="false">Z$5*(1+A_pore*Z$6*($A20/100))/(1-Z$6*(1+((1-phimax_pore)/phimax_pore^2)*($A20/100))*($A20/100))</f>
        <v>0.30872186224142</v>
      </c>
      <c r="AA20" s="9" t="n">
        <f aca="false">AA$5*(1+A_pore*AA$6*($A20/100))/(1-AA$6*(1+((1-phimax_pore)/phimax_pore^2)*($A20/100))*($A20/100))</f>
        <v>0.331834147594531</v>
      </c>
      <c r="AB20" s="9" t="n">
        <f aca="false">AB$5*(1+A_pore*AB$6*($A20/100))/(1-AB$6*(1+((1-phimax_pore)/phimax_pore^2)*($A20/100))*($A20/100))</f>
        <v>0.358669049170797</v>
      </c>
      <c r="AC20" s="9" t="n">
        <f aca="false">AC$5*(1+A_pore*AC$6*($A20/100))/(1-AC$6*(1+((1-phimax_pore)/phimax_pore^2)*($A20/100))*($A20/100))</f>
        <v>0.390298865442881</v>
      </c>
      <c r="AD20" s="9" t="n">
        <f aca="false">AD$5*(1+A_pore*AD$6*($A20/100))/(1-AD$6*(1+((1-phimax_pore)/phimax_pore^2)*($A20/100))*($A20/100))</f>
        <v>0.428249921434431</v>
      </c>
      <c r="AE20" s="9" t="n">
        <f aca="false">AE$5*(1+A_pore*AE$6*($A20/100))/(1-AE$6*(1+((1-phimax_pore)/phimax_pore^2)*($A20/100))*($A20/100))</f>
        <v>0.474771670034094</v>
      </c>
      <c r="AF20" s="9" t="n">
        <f aca="false">AF$5*(1+A_pore*AF$6*($A20/100))/(1-AF$6*(1+((1-phimax_pore)/phimax_pore^2)*($A20/100))*($A20/100))</f>
        <v>0.533322921119855</v>
      </c>
      <c r="AG20" s="9" t="n">
        <f aca="false">AG$5*(1+A_pore*AG$6*($A20/100))/(1-AG$6*(1+((1-phimax_pore)/phimax_pore^2)*($A20/100))*($A20/100))</f>
        <v>0.609511350595934</v>
      </c>
      <c r="AH20" s="9" t="n">
        <f aca="false">AH$5*(1+A_pore*AH$6*($A20/100))/(1-AH$6*(1+((1-phimax_pore)/phimax_pore^2)*($A20/100))*($A20/100))</f>
        <v>0.713069974178193</v>
      </c>
      <c r="AI20" s="9" t="n">
        <f aca="false">AI$5*(1+A_pore*AI$6*($A20/100))/(1-AI$6*(1+((1-phimax_pore)/phimax_pore^2)*($A20/100))*($A20/100))</f>
        <v>0.862506883888675</v>
      </c>
      <c r="AJ20" s="9" t="n">
        <f aca="false">AJ$5*(1+A_pore*AJ$6*($A20/100))/(1-AJ$6*(1+((1-phimax_pore)/phimax_pore^2)*($A20/100))*($A20/100))</f>
        <v>1.0978742280197</v>
      </c>
      <c r="AK20" s="9" t="n">
        <f aca="false">AK$5*(1+A_pore*AK$6*($A20/100))/(1-AK$6*(1+((1-phimax_pore)/phimax_pore^2)*($A20/100))*($A20/100))</f>
        <v>1.52498680579934</v>
      </c>
    </row>
    <row r="21" customFormat="false" ht="15" hidden="false" customHeight="false" outlineLevel="0" collapsed="false">
      <c r="A21" s="4" t="n">
        <v>12</v>
      </c>
      <c r="B21" s="9" t="n">
        <f aca="false">B$5*(1+A_pore*B$6*($A21/100))/(1-B$6*(1+((1-phimax_pore)/phimax_pore^2)*($A21/100))*($A21/100))</f>
        <v>0.0887902246758008</v>
      </c>
      <c r="C21" s="9" t="n">
        <f aca="false">C$5*(1+A_pore*C$6*($A21/100))/(1-C$6*(1+((1-phimax_pore)/phimax_pore^2)*($A21/100))*($A21/100))</f>
        <v>0.0935173151570425</v>
      </c>
      <c r="D21" s="9" t="n">
        <f aca="false">D$5*(1+A_pore*D$6*($A21/100))/(1-D$6*(1+((1-phimax_pore)/phimax_pore^2)*($A21/100))*($A21/100))</f>
        <v>0.0983328540505244</v>
      </c>
      <c r="E21" s="9" t="n">
        <f aca="false">E$5*(1+A_pore*E$6*($A21/100))/(1-E$6*(1+((1-phimax_pore)/phimax_pore^2)*($A21/100))*($A21/100))</f>
        <v>0.103252283112653</v>
      </c>
      <c r="F21" s="9" t="n">
        <f aca="false">F$5*(1+A_pore*F$6*($A21/100))/(1-F$6*(1+((1-phimax_pore)/phimax_pore^2)*($A21/100))*($A21/100))</f>
        <v>0.108292244592812</v>
      </c>
      <c r="G21" s="9" t="n">
        <f aca="false">G$5*(1+A_pore*G$6*($A21/100))/(1-G$6*(1+((1-phimax_pore)/phimax_pore^2)*($A21/100))*($A21/100))</f>
        <v>0.113470827378037</v>
      </c>
      <c r="H21" s="9" t="n">
        <f aca="false">H$5*(1+A_pore*H$6*($A21/100))/(1-H$6*(1+((1-phimax_pore)/phimax_pore^2)*($A21/100))*($A21/100))</f>
        <v>0.118807852966875</v>
      </c>
      <c r="I21" s="9" t="n">
        <f aca="false">I$5*(1+A_pore*I$6*($A21/100))/(1-I$6*(1+((1-phimax_pore)/phimax_pore^2)*($A21/100))*($A21/100))</f>
        <v>0.124325211364903</v>
      </c>
      <c r="J21" s="9" t="n">
        <f aca="false">J$5*(1+A_pore*J$6*($A21/100))/(1-J$6*(1+((1-phimax_pore)/phimax_pore^2)*($A21/100))*($A21/100))</f>
        <v>0.130047259598328</v>
      </c>
      <c r="K21" s="9" t="n">
        <f aca="false">K$5*(1+A_pore*K$6*($A21/100))/(1-K$6*(1+((1-phimax_pore)/phimax_pore^2)*($A21/100))*($A21/100))</f>
        <v>0.13600129899283</v>
      </c>
      <c r="L21" s="9" t="n">
        <f aca="false">L$5*(1+A_pore*L$6*($A21/100))/(1-L$6*(1+((1-phimax_pore)/phimax_pore^2)*($A21/100))*($A21/100))</f>
        <v>0.142218151967019</v>
      </c>
      <c r="M21" s="9" t="n">
        <f aca="false">M$5*(1+A_pore*M$6*($A21/100))/(1-M$6*(1+((1-phimax_pore)/phimax_pore^2)*($A21/100))*($A21/100))</f>
        <v>0.148732865275478</v>
      </c>
      <c r="N21" s="9" t="n">
        <f aca="false">N$5*(1+A_pore*N$6*($A21/100))/(1-N$6*(1+((1-phimax_pore)/phimax_pore^2)*($A21/100))*($A21/100))</f>
        <v>0.155585575025186</v>
      </c>
      <c r="O21" s="9" t="n">
        <f aca="false">O$5*(1+A_pore*O$6*($A21/100))/(1-O$6*(1+((1-phimax_pore)/phimax_pore^2)*($A21/100))*($A21/100))</f>
        <v>0.162822580280079</v>
      </c>
      <c r="P21" s="9" t="n">
        <f aca="false">P$5*(1+A_pore*P$6*($A21/100))/(1-P$6*(1+((1-phimax_pore)/phimax_pore^2)*($A21/100))*($A21/100))</f>
        <v>0.170497687983283</v>
      </c>
      <c r="Q21" s="9" t="n">
        <f aca="false">Q$5*(1+A_pore*Q$6*($A21/100))/(1-Q$6*(1+((1-phimax_pore)/phimax_pore^2)*($A21/100))*($A21/100))</f>
        <v>0.178673914234946</v>
      </c>
      <c r="R21" s="9" t="n">
        <f aca="false">R$5*(1+A_pore*R$6*($A21/100))/(1-R$6*(1+((1-phimax_pore)/phimax_pore^2)*($A21/100))*($A21/100))</f>
        <v>0.187425658646714</v>
      </c>
      <c r="S21" s="9" t="n">
        <f aca="false">S$5*(1+A_pore*S$6*($A21/100))/(1-S$6*(1+((1-phimax_pore)/phimax_pore^2)*($A21/100))*($A21/100))</f>
        <v>0.196841514137635</v>
      </c>
      <c r="T21" s="9" t="n">
        <f aca="false">T$5*(1+A_pore*T$6*($A21/100))/(1-T$6*(1+((1-phimax_pore)/phimax_pore^2)*($A21/100))*($A21/100))</f>
        <v>0.207027941322247</v>
      </c>
      <c r="U21" s="9" t="n">
        <f aca="false">U$5*(1+A_pore*U$6*($A21/100))/(1-U$6*(1+((1-phimax_pore)/phimax_pore^2)*($A21/100))*($A21/100))</f>
        <v>0.218114136036625</v>
      </c>
      <c r="V21" s="9" t="n">
        <f aca="false">V$5*(1+A_pore*V$6*($A21/100))/(1-V$6*(1+((1-phimax_pore)/phimax_pore^2)*($A21/100))*($A21/100))</f>
        <v>0.230258569253228</v>
      </c>
      <c r="W21" s="9" t="n">
        <f aca="false">W$5*(1+A_pore*W$6*($A21/100))/(1-W$6*(1+((1-phimax_pore)/phimax_pore^2)*($A21/100))*($A21/100))</f>
        <v>0.243657911867656</v>
      </c>
      <c r="X21" s="9" t="n">
        <f aca="false">X$5*(1+A_pore*X$6*($A21/100))/(1-X$6*(1+((1-phimax_pore)/phimax_pore^2)*($A21/100))*($A21/100))</f>
        <v>0.258559426062811</v>
      </c>
      <c r="Y21" s="9" t="n">
        <f aca="false">Y$5*(1+A_pore*Y$6*($A21/100))/(1-Y$6*(1+((1-phimax_pore)/phimax_pore^2)*($A21/100))*($A21/100))</f>
        <v>0.275278504369415</v>
      </c>
      <c r="Z21" s="9" t="n">
        <f aca="false">Z$5*(1+A_pore*Z$6*($A21/100))/(1-Z$6*(1+((1-phimax_pore)/phimax_pore^2)*($A21/100))*($A21/100))</f>
        <v>0.294224038468599</v>
      </c>
      <c r="AA21" s="9" t="n">
        <f aca="false">AA$5*(1+A_pore*AA$6*($A21/100))/(1-AA$6*(1+((1-phimax_pore)/phimax_pore^2)*($A21/100))*($A21/100))</f>
        <v>0.315936025083439</v>
      </c>
      <c r="AB21" s="9" t="n">
        <f aca="false">AB$5*(1+A_pore*AB$6*($A21/100))/(1-AB$6*(1+((1-phimax_pore)/phimax_pore^2)*($A21/100))*($A21/100))</f>
        <v>0.341142899392401</v>
      </c>
      <c r="AC21" s="9" t="n">
        <f aca="false">AC$5*(1+A_pore*AC$6*($A21/100))/(1-AC$6*(1+((1-phimax_pore)/phimax_pore^2)*($A21/100))*($A21/100))</f>
        <v>0.370851828316784</v>
      </c>
      <c r="AD21" s="9" t="n">
        <f aca="false">AD$5*(1+A_pore*AD$6*($A21/100))/(1-AD$6*(1+((1-phimax_pore)/phimax_pore^2)*($A21/100))*($A21/100))</f>
        <v>0.406496414515484</v>
      </c>
      <c r="AE21" s="9" t="n">
        <f aca="false">AE$5*(1+A_pore*AE$6*($A21/100))/(1-AE$6*(1+((1-phimax_pore)/phimax_pore^2)*($A21/100))*($A21/100))</f>
        <v>0.45018944879433</v>
      </c>
      <c r="AF21" s="9" t="n">
        <f aca="false">AF$5*(1+A_pore*AF$6*($A21/100))/(1-AF$6*(1+((1-phimax_pore)/phimax_pore^2)*($A21/100))*($A21/100))</f>
        <v>0.505179598927812</v>
      </c>
      <c r="AG21" s="9" t="n">
        <f aca="false">AG$5*(1+A_pore*AG$6*($A21/100))/(1-AG$6*(1+((1-phimax_pore)/phimax_pore^2)*($A21/100))*($A21/100))</f>
        <v>0.576733839857567</v>
      </c>
      <c r="AH21" s="9" t="n">
        <f aca="false">AH$5*(1+A_pore*AH$6*($A21/100))/(1-AH$6*(1+((1-phimax_pore)/phimax_pore^2)*($A21/100))*($A21/100))</f>
        <v>0.673993849031581</v>
      </c>
      <c r="AI21" s="9" t="n">
        <f aca="false">AI$5*(1+A_pore*AI$6*($A21/100))/(1-AI$6*(1+((1-phimax_pore)/phimax_pore^2)*($A21/100))*($A21/100))</f>
        <v>0.81434325352763</v>
      </c>
      <c r="AJ21" s="9" t="n">
        <f aca="false">AJ$5*(1+A_pore*AJ$6*($A21/100))/(1-AJ$6*(1+((1-phimax_pore)/phimax_pore^2)*($A21/100))*($A21/100))</f>
        <v>1.0354008457072</v>
      </c>
      <c r="AK21" s="9" t="n">
        <f aca="false">AK$5*(1+A_pore*AK$6*($A21/100))/(1-AK$6*(1+((1-phimax_pore)/phimax_pore^2)*($A21/100))*($A21/100))</f>
        <v>1.43655272998555</v>
      </c>
    </row>
    <row r="22" customFormat="false" ht="15" hidden="false" customHeight="false" outlineLevel="0" collapsed="false">
      <c r="A22" s="4" t="n">
        <v>13</v>
      </c>
      <c r="B22" s="9" t="n">
        <f aca="false">B$5*(1+A_pore*B$6*($A22/100))/(1-B$6*(1+((1-phimax_pore)/phimax_pore^2)*($A22/100))*($A22/100))</f>
        <v>0.0868523682357588</v>
      </c>
      <c r="C22" s="9" t="n">
        <f aca="false">C$5*(1+A_pore*C$6*($A22/100))/(1-C$6*(1+((1-phimax_pore)/phimax_pore^2)*($A22/100))*($A22/100))</f>
        <v>0.091363655219396</v>
      </c>
      <c r="D22" s="9" t="n">
        <f aca="false">D$5*(1+A_pore*D$6*($A22/100))/(1-D$6*(1+((1-phimax_pore)/phimax_pore^2)*($A22/100))*($A22/100))</f>
        <v>0.095953131352175</v>
      </c>
      <c r="E22" s="9" t="n">
        <f aca="false">E$5*(1+A_pore*E$6*($A22/100))/(1-E$6*(1+((1-phimax_pore)/phimax_pore^2)*($A22/100))*($A22/100))</f>
        <v>0.100635754903442</v>
      </c>
      <c r="F22" s="9" t="n">
        <f aca="false">F$5*(1+A_pore*F$6*($A22/100))/(1-F$6*(1+((1-phimax_pore)/phimax_pore^2)*($A22/100))*($A22/100))</f>
        <v>0.105427570043263</v>
      </c>
      <c r="G22" s="9" t="n">
        <f aca="false">G$5*(1+A_pore*G$6*($A22/100))/(1-G$6*(1+((1-phimax_pore)/phimax_pore^2)*($A22/100))*($A22/100))</f>
        <v>0.110345943755041</v>
      </c>
      <c r="H22" s="9" t="n">
        <f aca="false">H$5*(1+A_pore*H$6*($A22/100))/(1-H$6*(1+((1-phimax_pore)/phimax_pore^2)*($A22/100))*($A22/100))</f>
        <v>0.115409839545347</v>
      </c>
      <c r="I22" s="9" t="n">
        <f aca="false">I$5*(1+A_pore*I$6*($A22/100))/(1-I$6*(1+((1-phimax_pore)/phimax_pore^2)*($A22/100))*($A22/100))</f>
        <v>0.120640137557247</v>
      </c>
      <c r="J22" s="9" t="n">
        <f aca="false">J$5*(1+A_pore*J$6*($A22/100))/(1-J$6*(1+((1-phimax_pore)/phimax_pore^2)*($A22/100))*($A22/100))</f>
        <v>0.126060013127732</v>
      </c>
      <c r="K22" s="9" t="n">
        <f aca="false">K$5*(1+A_pore*K$6*($A22/100))/(1-K$6*(1+((1-phimax_pore)/phimax_pore^2)*($A22/100))*($A22/100))</f>
        <v>0.131695389064444</v>
      </c>
      <c r="L22" s="9" t="n">
        <f aca="false">L$5*(1+A_pore*L$6*($A22/100))/(1-L$6*(1+((1-phimax_pore)/phimax_pore^2)*($A22/100))*($A22/100))</f>
        <v>0.137575481238084</v>
      </c>
      <c r="M22" s="9" t="n">
        <f aca="false">M$5*(1+A_pore*M$6*($A22/100))/(1-M$6*(1+((1-phimax_pore)/phimax_pore^2)*($A22/100))*($A22/100))</f>
        <v>0.143733462900827</v>
      </c>
      <c r="N22" s="9" t="n">
        <f aca="false">N$5*(1+A_pore*N$6*($A22/100))/(1-N$6*(1+((1-phimax_pore)/phimax_pore^2)*($A22/100))*($A22/100))</f>
        <v>0.150207281030915</v>
      </c>
      <c r="O22" s="9" t="n">
        <f aca="false">O$5*(1+A_pore*O$6*($A22/100))/(1-O$6*(1+((1-phimax_pore)/phimax_pore^2)*($A22/100))*($A22/100))</f>
        <v>0.157040668815395</v>
      </c>
      <c r="P22" s="9" t="n">
        <f aca="false">P$5*(1+A_pore*P$6*($A22/100))/(1-P$6*(1+((1-phimax_pore)/phimax_pore^2)*($A22/100))*($A22/100))</f>
        <v>0.164284413360756</v>
      </c>
      <c r="Q22" s="9" t="n">
        <f aca="false">Q$5*(1+A_pore*Q$6*($A22/100))/(1-Q$6*(1+((1-phimax_pore)/phimax_pore^2)*($A22/100))*($A22/100))</f>
        <v>0.171997958719374</v>
      </c>
      <c r="R22" s="9" t="n">
        <f aca="false">R$5*(1+A_pore*R$6*($A22/100))/(1-R$6*(1+((1-phimax_pore)/phimax_pore^2)*($A22/100))*($A22/100))</f>
        <v>0.180251454144645</v>
      </c>
      <c r="S22" s="9" t="n">
        <f aca="false">S$5*(1+A_pore*S$6*($A22/100))/(1-S$6*(1+((1-phimax_pore)/phimax_pore^2)*($A22/100))*($A22/100))</f>
        <v>0.189128400456834</v>
      </c>
      <c r="T22" s="9" t="n">
        <f aca="false">T$5*(1+A_pore*T$6*($A22/100))/(1-T$6*(1+((1-phimax_pore)/phimax_pore^2)*($A22/100))*($A22/100))</f>
        <v>0.198729110276334</v>
      </c>
      <c r="U22" s="9" t="n">
        <f aca="false">U$5*(1+A_pore*U$6*($A22/100))/(1-U$6*(1+((1-phimax_pore)/phimax_pore^2)*($A22/100))*($A22/100))</f>
        <v>0.209175291456688</v>
      </c>
      <c r="V22" s="9" t="n">
        <f aca="false">V$5*(1+A_pore*V$6*($A22/100))/(1-V$6*(1+((1-phimax_pore)/phimax_pore^2)*($A22/100))*($A22/100))</f>
        <v>0.220616204933032</v>
      </c>
      <c r="W22" s="9" t="n">
        <f aca="false">W$5*(1+A_pore*W$6*($A22/100))/(1-W$6*(1+((1-phimax_pore)/phimax_pore^2)*($A22/100))*($A22/100))</f>
        <v>0.233237067782633</v>
      </c>
      <c r="X22" s="9" t="n">
        <f aca="false">X$5*(1+A_pore*X$6*($A22/100))/(1-X$6*(1+((1-phimax_pore)/phimax_pore^2)*($A22/100))*($A22/100))</f>
        <v>0.247270719907083</v>
      </c>
      <c r="Y22" s="9" t="n">
        <f aca="false">Y$5*(1+A_pore*Y$6*($A22/100))/(1-Y$6*(1+((1-phimax_pore)/phimax_pore^2)*($A22/100))*($A22/100))</f>
        <v>0.263014137078319</v>
      </c>
      <c r="Z22" s="9" t="n">
        <f aca="false">Z$5*(1+A_pore*Z$6*($A22/100))/(1-Z$6*(1+((1-phimax_pore)/phimax_pore^2)*($A22/100))*($A22/100))</f>
        <v>0.280852315439125</v>
      </c>
      <c r="AA22" s="9" t="n">
        <f aca="false">AA$5*(1+A_pore*AA$6*($A22/100))/(1-AA$6*(1+((1-phimax_pore)/phimax_pore^2)*($A22/100))*($A22/100))</f>
        <v>0.301293676879099</v>
      </c>
      <c r="AB22" s="9" t="n">
        <f aca="false">AB$5*(1+A_pore*AB$6*($A22/100))/(1-AB$6*(1+((1-phimax_pore)/phimax_pore^2)*($A22/100))*($A22/100))</f>
        <v>0.325024047361079</v>
      </c>
      <c r="AC22" s="9" t="n">
        <f aca="false">AC$5*(1+A_pore*AC$6*($A22/100))/(1-AC$6*(1+((1-phimax_pore)/phimax_pore^2)*($A22/100))*($A22/100))</f>
        <v>0.352991666157341</v>
      </c>
      <c r="AD22" s="9" t="n">
        <f aca="false">AD$5*(1+A_pore*AD$6*($A22/100))/(1-AD$6*(1+((1-phimax_pore)/phimax_pore^2)*($A22/100))*($A22/100))</f>
        <v>0.386546245897023</v>
      </c>
      <c r="AE22" s="9" t="n">
        <f aca="false">AE$5*(1+A_pore*AE$6*($A22/100))/(1-AE$6*(1+((1-phimax_pore)/phimax_pore^2)*($A22/100))*($A22/100))</f>
        <v>0.427676933235811</v>
      </c>
      <c r="AF22" s="9" t="n">
        <f aca="false">AF$5*(1+A_pore*AF$6*($A22/100))/(1-AF$6*(1+((1-phimax_pore)/phimax_pore^2)*($A22/100))*($A22/100))</f>
        <v>0.479442270932098</v>
      </c>
      <c r="AG22" s="9" t="n">
        <f aca="false">AG$5*(1+A_pore*AG$6*($A22/100))/(1-AG$6*(1+((1-phimax_pore)/phimax_pore^2)*($A22/100))*($A22/100))</f>
        <v>0.54680098561975</v>
      </c>
      <c r="AH22" s="9" t="n">
        <f aca="false">AH$5*(1+A_pore*AH$6*($A22/100))/(1-AH$6*(1+((1-phimax_pore)/phimax_pore^2)*($A22/100))*($A22/100))</f>
        <v>0.63835974138514</v>
      </c>
      <c r="AI22" s="9" t="n">
        <f aca="false">AI$5*(1+A_pore*AI$6*($A22/100))/(1-AI$6*(1+((1-phimax_pore)/phimax_pore^2)*($A22/100))*($A22/100))</f>
        <v>0.770484802695877</v>
      </c>
      <c r="AJ22" s="9" t="n">
        <f aca="false">AJ$5*(1+A_pore*AJ$6*($A22/100))/(1-AJ$6*(1+((1-phimax_pore)/phimax_pore^2)*($A22/100))*($A22/100))</f>
        <v>0.978593371855368</v>
      </c>
      <c r="AK22" s="9" t="n">
        <f aca="false">AK$5*(1+A_pore*AK$6*($A22/100))/(1-AK$6*(1+((1-phimax_pore)/phimax_pore^2)*($A22/100))*($A22/100))</f>
        <v>1.35625515300173</v>
      </c>
    </row>
    <row r="23" customFormat="false" ht="15" hidden="false" customHeight="false" outlineLevel="0" collapsed="false">
      <c r="A23" s="4" t="n">
        <v>14</v>
      </c>
      <c r="B23" s="9" t="n">
        <f aca="false">B$5*(1+A_pore*B$6*($A23/100))/(1-B$6*(1+((1-phimax_pore)/phimax_pore^2)*($A23/100))*($A23/100))</f>
        <v>0.08498905596332</v>
      </c>
      <c r="C23" s="9" t="n">
        <f aca="false">C$5*(1+A_pore*C$6*($A23/100))/(1-C$6*(1+((1-phimax_pore)/phimax_pore^2)*($A23/100))*($A23/100))</f>
        <v>0.0892971791188386</v>
      </c>
      <c r="D23" s="9" t="n">
        <f aca="false">D$5*(1+A_pore*D$6*($A23/100))/(1-D$6*(1+((1-phimax_pore)/phimax_pore^2)*($A23/100))*($A23/100))</f>
        <v>0.0936743719158747</v>
      </c>
      <c r="E23" s="9" t="n">
        <f aca="false">E$5*(1+A_pore*E$6*($A23/100))/(1-E$6*(1+((1-phimax_pore)/phimax_pore^2)*($A23/100))*($A23/100))</f>
        <v>0.0981351562335258</v>
      </c>
      <c r="F23" s="9" t="n">
        <f aca="false">F$5*(1+A_pore*F$6*($A23/100))/(1-F$6*(1+((1-phimax_pore)/phimax_pore^2)*($A23/100))*($A23/100))</f>
        <v>0.102695033566408</v>
      </c>
      <c r="G23" s="9" t="n">
        <f aca="false">G$5*(1+A_pore*G$6*($A23/100))/(1-G$6*(1+((1-phimax_pore)/phimax_pore^2)*($A23/100))*($A23/100))</f>
        <v>0.107370714023067</v>
      </c>
      <c r="H23" s="9" t="n">
        <f aca="false">H$5*(1+A_pore*H$6*($A23/100))/(1-H$6*(1+((1-phimax_pore)/phimax_pore^2)*($A23/100))*($A23/100))</f>
        <v>0.112180379272605</v>
      </c>
      <c r="I23" s="9" t="n">
        <f aca="false">I$5*(1+A_pore*I$6*($A23/100))/(1-I$6*(1+((1-phimax_pore)/phimax_pore^2)*($A23/100))*($A23/100))</f>
        <v>0.117143988622222</v>
      </c>
      <c r="J23" s="9" t="n">
        <f aca="false">J$5*(1+A_pore*J$6*($A23/100))/(1-J$6*(1+((1-phimax_pore)/phimax_pore^2)*($A23/100))*($A23/100))</f>
        <v>0.122283639684664</v>
      </c>
      <c r="K23" s="9" t="n">
        <f aca="false">K$5*(1+A_pore*K$6*($A23/100))/(1-K$6*(1+((1-phimax_pore)/phimax_pore^2)*($A23/100))*($A23/100))</f>
        <v>0.127623998129771</v>
      </c>
      <c r="L23" s="9" t="n">
        <f aca="false">L$5*(1+A_pore*L$6*($A23/100))/(1-L$6*(1+((1-phimax_pore)/phimax_pore^2)*($A23/100))*($A23/100))</f>
        <v>0.133192815077692</v>
      </c>
      <c r="M23" s="9" t="n">
        <f aca="false">M$5*(1+A_pore*M$6*($A23/100))/(1-M$6*(1+((1-phimax_pore)/phimax_pore^2)*($A23/100))*($A23/100))</f>
        <v>0.139021556165604</v>
      </c>
      <c r="N23" s="9" t="n">
        <f aca="false">N$5*(1+A_pore*N$6*($A23/100))/(1-N$6*(1+((1-phimax_pore)/phimax_pore^2)*($A23/100))*($A23/100))</f>
        <v>0.145146173754518</v>
      </c>
      <c r="O23" s="9" t="n">
        <f aca="false">O$5*(1+A_pore*O$6*($A23/100))/(1-O$6*(1+((1-phimax_pore)/phimax_pore^2)*($A23/100))*($A23/100))</f>
        <v>0.151608063935998</v>
      </c>
      <c r="P23" s="9" t="n">
        <f aca="false">P$5*(1+A_pore*P$6*($A23/100))/(1-P$6*(1+((1-phimax_pore)/phimax_pore^2)*($A23/100))*($A23/100))</f>
        <v>0.158455264123703</v>
      </c>
      <c r="Q23" s="9" t="n">
        <f aca="false">Q$5*(1+A_pore*Q$6*($A23/100))/(1-Q$6*(1+((1-phimax_pore)/phimax_pore^2)*($A23/100))*($A23/100))</f>
        <v>0.165743966820932</v>
      </c>
      <c r="R23" s="9" t="n">
        <f aca="false">R$5*(1+A_pore*R$6*($A23/100))/(1-R$6*(1+((1-phimax_pore)/phimax_pore^2)*($A23/100))*($A23/100))</f>
        <v>0.17354045329053</v>
      </c>
      <c r="S23" s="9" t="n">
        <f aca="false">S$5*(1+A_pore*S$6*($A23/100))/(1-S$6*(1+((1-phimax_pore)/phimax_pore^2)*($A23/100))*($A23/100))</f>
        <v>0.181923591390834</v>
      </c>
      <c r="T23" s="9" t="n">
        <f aca="false">T$5*(1+A_pore*T$6*($A23/100))/(1-T$6*(1+((1-phimax_pore)/phimax_pore^2)*($A23/100))*($A23/100))</f>
        <v>0.190988101159824</v>
      </c>
      <c r="U23" s="9" t="n">
        <f aca="false">U$5*(1+A_pore*U$6*($A23/100))/(1-U$6*(1+((1-phimax_pore)/phimax_pore^2)*($A23/100))*($A23/100))</f>
        <v>0.200848880014829</v>
      </c>
      <c r="V23" s="9" t="n">
        <f aca="false">V$5*(1+A_pore*V$6*($A23/100))/(1-V$6*(1+((1-phimax_pore)/phimax_pore^2)*($A23/100))*($A23/100))</f>
        <v>0.211646813298425</v>
      </c>
      <c r="W23" s="9" t="n">
        <f aca="false">W$5*(1+A_pore*W$6*($A23/100))/(1-W$6*(1+((1-phimax_pore)/phimax_pore^2)*($A23/100))*($A23/100))</f>
        <v>0.22355670307196</v>
      </c>
      <c r="X23" s="9" t="n">
        <f aca="false">X$5*(1+A_pore*X$6*($A23/100))/(1-X$6*(1+((1-phimax_pore)/phimax_pore^2)*($A23/100))*($A23/100))</f>
        <v>0.236798276025996</v>
      </c>
      <c r="Y23" s="9" t="n">
        <f aca="false">Y$5*(1+A_pore*Y$6*($A23/100))/(1-Y$6*(1+((1-phimax_pore)/phimax_pore^2)*($A23/100))*($A23/100))</f>
        <v>0.25165176381821</v>
      </c>
      <c r="Z23" s="9" t="n">
        <f aca="false">Z$5*(1+A_pore*Z$6*($A23/100))/(1-Z$6*(1+((1-phimax_pore)/phimax_pore^2)*($A23/100))*($A23/100))</f>
        <v>0.268480438245121</v>
      </c>
      <c r="AA23" s="9" t="n">
        <f aca="false">AA$5*(1+A_pore*AA$6*($A23/100))/(1-AA$6*(1+((1-phimax_pore)/phimax_pore^2)*($A23/100))*($A23/100))</f>
        <v>0.287764016193704</v>
      </c>
      <c r="AB23" s="9" t="n">
        <f aca="false">AB$5*(1+A_pore*AB$6*($A23/100))/(1-AB$6*(1+((1-phimax_pore)/phimax_pore^2)*($A23/100))*($A23/100))</f>
        <v>0.310149587945319</v>
      </c>
      <c r="AC23" s="9" t="n">
        <f aca="false">AC$5*(1+A_pore*AC$6*($A23/100))/(1-AC$6*(1+((1-phimax_pore)/phimax_pore^2)*($A23/100))*($A23/100))</f>
        <v>0.336531822805672</v>
      </c>
      <c r="AD23" s="9" t="n">
        <f aca="false">AD$5*(1+A_pore*AD$6*($A23/100))/(1-AD$6*(1+((1-phimax_pore)/phimax_pore^2)*($A23/100))*($A23/100))</f>
        <v>0.368184171129062</v>
      </c>
      <c r="AE23" s="9" t="n">
        <f aca="false">AE$5*(1+A_pore*AE$6*($A23/100))/(1-AE$6*(1+((1-phimax_pore)/phimax_pore^2)*($A23/100))*($A23/100))</f>
        <v>0.406983378123401</v>
      </c>
      <c r="AF23" s="9" t="n">
        <f aca="false">AF$5*(1+A_pore*AF$6*($A23/100))/(1-AF$6*(1+((1-phimax_pore)/phimax_pore^2)*($A23/100))*($A23/100))</f>
        <v>0.455815149171433</v>
      </c>
      <c r="AG23" s="9" t="n">
        <f aca="false">AG$5*(1+A_pore*AG$6*($A23/100))/(1-AG$6*(1+((1-phimax_pore)/phimax_pore^2)*($A23/100))*($A23/100))</f>
        <v>0.519357990466813</v>
      </c>
      <c r="AH23" s="9" t="n">
        <f aca="false">AH$5*(1+A_pore*AH$6*($A23/100))/(1-AH$6*(1+((1-phimax_pore)/phimax_pore^2)*($A23/100))*($A23/100))</f>
        <v>0.605732198411573</v>
      </c>
      <c r="AI23" s="9" t="n">
        <f aca="false">AI$5*(1+A_pore*AI$6*($A23/100))/(1-AI$6*(1+((1-phimax_pore)/phimax_pore^2)*($A23/100))*($A23/100))</f>
        <v>0.730379175708835</v>
      </c>
      <c r="AJ23" s="9" t="n">
        <f aca="false">AJ$5*(1+A_pore*AJ$6*($A23/100))/(1-AJ$6*(1+((1-phimax_pore)/phimax_pore^2)*($A23/100))*($A23/100))</f>
        <v>0.926714704317091</v>
      </c>
      <c r="AK23" s="9" t="n">
        <f aca="false">AK$5*(1+A_pore*AK$6*($A23/100))/(1-AK$6*(1+((1-phimax_pore)/phimax_pore^2)*($A23/100))*($A23/100))</f>
        <v>1.28302091142416</v>
      </c>
    </row>
    <row r="24" customFormat="false" ht="15" hidden="false" customHeight="false" outlineLevel="0" collapsed="false">
      <c r="A24" s="4" t="n">
        <v>15</v>
      </c>
      <c r="B24" s="9" t="n">
        <f aca="false">B$5*(1+A_pore*B$6*($A24/100))/(1-B$6*(1+((1-phimax_pore)/phimax_pore^2)*($A24/100))*($A24/100))</f>
        <v>0.0831960699431915</v>
      </c>
      <c r="C24" s="9" t="n">
        <f aca="false">C$5*(1+A_pore*C$6*($A24/100))/(1-C$6*(1+((1-phimax_pore)/phimax_pore^2)*($A24/100))*($A24/100))</f>
        <v>0.0873127004485672</v>
      </c>
      <c r="D24" s="9" t="n">
        <f aca="false">D$5*(1+A_pore*D$6*($A24/100))/(1-D$6*(1+((1-phimax_pore)/phimax_pore^2)*($A24/100))*($A24/100))</f>
        <v>0.0914902869707883</v>
      </c>
      <c r="E24" s="9" t="n">
        <f aca="false">E$5*(1+A_pore*E$6*($A24/100))/(1-E$6*(1+((1-phimax_pore)/phimax_pore^2)*($A24/100))*($A24/100))</f>
        <v>0.095742952941558</v>
      </c>
      <c r="F24" s="9" t="n">
        <f aca="false">F$5*(1+A_pore*F$6*($A24/100))/(1-F$6*(1+((1-phimax_pore)/phimax_pore^2)*($A24/100))*($A24/100))</f>
        <v>0.100085702687665</v>
      </c>
      <c r="G24" s="9" t="n">
        <f aca="false">G$5*(1+A_pore*G$6*($A24/100))/(1-G$6*(1+((1-phimax_pore)/phimax_pore^2)*($A24/100))*($A24/100))</f>
        <v>0.104534643631879</v>
      </c>
      <c r="H24" s="9" t="n">
        <f aca="false">H$5*(1+A_pore*H$6*($A24/100))/(1-H$6*(1+((1-phimax_pore)/phimax_pore^2)*($A24/100))*($A24/100))</f>
        <v>0.109107239752302</v>
      </c>
      <c r="I24" s="9" t="n">
        <f aca="false">I$5*(1+A_pore*I$6*($A24/100))/(1-I$6*(1+((1-phimax_pore)/phimax_pore^2)*($A24/100))*($A24/100))</f>
        <v>0.113822605114511</v>
      </c>
      <c r="J24" s="9" t="n">
        <f aca="false">J$5*(1+A_pore*J$6*($A24/100))/(1-J$6*(1+((1-phimax_pore)/phimax_pore^2)*($A24/100))*($A24/100))</f>
        <v>0.118701848418967</v>
      </c>
      <c r="K24" s="9" t="n">
        <f aca="false">K$5*(1+A_pore*K$6*($A24/100))/(1-K$6*(1+((1-phimax_pore)/phimax_pore^2)*($A24/100))*($A24/100))</f>
        <v>0.123768482356245</v>
      </c>
      <c r="L24" s="9" t="n">
        <f aca="false">L$5*(1+A_pore*L$6*($A24/100))/(1-L$6*(1+((1-phimax_pore)/phimax_pore^2)*($A24/100))*($A24/100))</f>
        <v>0.129048915388245</v>
      </c>
      <c r="M24" s="9" t="n">
        <f aca="false">M$5*(1+A_pore*M$6*($A24/100))/(1-M$6*(1+((1-phimax_pore)/phimax_pore^2)*($A24/100))*($A24/100))</f>
        <v>0.134573048735805</v>
      </c>
      <c r="N24" s="9" t="n">
        <f aca="false">N$5*(1+A_pore*N$6*($A24/100))/(1-N$6*(1+((1-phimax_pore)/phimax_pore^2)*($A24/100))*($A24/100))</f>
        <v>0.140375008370958</v>
      </c>
      <c r="O24" s="9" t="n">
        <f aca="false">O$5*(1+A_pore*O$6*($A24/100))/(1-O$6*(1+((1-phimax_pore)/phimax_pore^2)*($A24/100))*($A24/100))</f>
        <v>0.146494051439365</v>
      </c>
      <c r="P24" s="9" t="n">
        <f aca="false">P$5*(1+A_pore*P$6*($A24/100))/(1-P$6*(1+((1-phimax_pore)/phimax_pore^2)*($A24/100))*($A24/100))</f>
        <v>0.152975699884089</v>
      </c>
      <c r="Q24" s="9" t="n">
        <f aca="false">Q$5*(1+A_pore*Q$6*($A24/100))/(1-Q$6*(1+((1-phimax_pore)/phimax_pore^2)*($A24/100))*($A24/100))</f>
        <v>0.159873172759244</v>
      </c>
      <c r="R24" s="9" t="n">
        <f aca="false">R$5*(1+A_pore*R$6*($A24/100))/(1-R$6*(1+((1-phimax_pore)/phimax_pore^2)*($A24/100))*($A24/100))</f>
        <v>0.167249215313786</v>
      </c>
      <c r="S24" s="9" t="n">
        <f aca="false">S$5*(1+A_pore*S$6*($A24/100))/(1-S$6*(1+((1-phimax_pore)/phimax_pore^2)*($A24/100))*($A24/100))</f>
        <v>0.17517846124226</v>
      </c>
      <c r="T24" s="9" t="n">
        <f aca="false">T$5*(1+A_pore*T$6*($A24/100))/(1-T$6*(1+((1-phimax_pore)/phimax_pore^2)*($A24/100))*($A24/100))</f>
        <v>0.183750520570586</v>
      </c>
      <c r="U24" s="9" t="n">
        <f aca="false">U$5*(1+A_pore*U$6*($A24/100))/(1-U$6*(1+((1-phimax_pore)/phimax_pore^2)*($A24/100))*($A24/100))</f>
        <v>0.193074069099438</v>
      </c>
      <c r="V24" s="9" t="n">
        <f aca="false">V$5*(1+A_pore*V$6*($A24/100))/(1-V$6*(1+((1-phimax_pore)/phimax_pore^2)*($A24/100))*($A24/100))</f>
        <v>0.203282341868393</v>
      </c>
      <c r="W24" s="9" t="n">
        <f aca="false">W$5*(1+A_pore*W$6*($A24/100))/(1-W$6*(1+((1-phimax_pore)/phimax_pore^2)*($A24/100))*($A24/100))</f>
        <v>0.21454062894367</v>
      </c>
      <c r="X24" s="9" t="n">
        <f aca="false">X$5*(1+A_pore*X$6*($A24/100))/(1-X$6*(1+((1-phimax_pore)/phimax_pore^2)*($A24/100))*($A24/100))</f>
        <v>0.227056681863567</v>
      </c>
      <c r="Y24" s="9" t="n">
        <f aca="false">Y$5*(1+A_pore*Y$6*($A24/100))/(1-Y$6*(1+((1-phimax_pore)/phimax_pore^2)*($A24/100))*($A24/100))</f>
        <v>0.241095442399006</v>
      </c>
      <c r="Z24" s="9" t="n">
        <f aca="false">Z$5*(1+A_pore*Z$6*($A24/100))/(1-Z$6*(1+((1-phimax_pore)/phimax_pore^2)*($A24/100))*($A24/100))</f>
        <v>0.257000345761161</v>
      </c>
      <c r="AA24" s="9" t="n">
        <f aca="false">AA$5*(1+A_pore*AA$6*($A24/100))/(1-AA$6*(1+((1-phimax_pore)/phimax_pore^2)*($A24/100))*($A24/100))</f>
        <v>0.275224899120075</v>
      </c>
      <c r="AB24" s="9" t="n">
        <f aca="false">AB$5*(1+A_pore*AB$6*($A24/100))/(1-AB$6*(1+((1-phimax_pore)/phimax_pore^2)*($A24/100))*($A24/100))</f>
        <v>0.296380825162419</v>
      </c>
      <c r="AC24" s="9" t="n">
        <f aca="false">AC$5*(1+A_pore*AC$6*($A24/100))/(1-AC$6*(1+((1-phimax_pore)/phimax_pore^2)*($A24/100))*($A24/100))</f>
        <v>0.321313881902612</v>
      </c>
      <c r="AD24" s="9" t="n">
        <f aca="false">AD$5*(1+A_pore*AD$6*($A24/100))/(1-AD$6*(1+((1-phimax_pore)/phimax_pore^2)*($A24/100))*($A24/100))</f>
        <v>0.351227890116277</v>
      </c>
      <c r="AE24" s="9" t="n">
        <f aca="false">AE$5*(1+A_pore*AE$6*($A24/100))/(1-AE$6*(1+((1-phimax_pore)/phimax_pore^2)*($A24/100))*($A24/100))</f>
        <v>0.387896969777372</v>
      </c>
      <c r="AF24" s="9" t="n">
        <f aca="false">AF$5*(1+A_pore*AF$6*($A24/100))/(1-AF$6*(1+((1-phimax_pore)/phimax_pore^2)*($A24/100))*($A24/100))</f>
        <v>0.434049021739541</v>
      </c>
      <c r="AG24" s="9" t="n">
        <f aca="false">AG$5*(1+A_pore*AG$6*($A24/100))/(1-AG$6*(1+((1-phimax_pore)/phimax_pore^2)*($A24/100))*($A24/100))</f>
        <v>0.494106704258198</v>
      </c>
      <c r="AH24" s="9" t="n">
        <f aca="false">AH$5*(1+A_pore*AH$6*($A24/100))/(1-AH$6*(1+((1-phimax_pore)/phimax_pore^2)*($A24/100))*($A24/100))</f>
        <v>0.575746247763958</v>
      </c>
      <c r="AI24" s="9" t="n">
        <f aca="false">AI$5*(1+A_pore*AI$6*($A24/100))/(1-AI$6*(1+((1-phimax_pore)/phimax_pore^2)*($A24/100))*($A24/100))</f>
        <v>0.693564631364066</v>
      </c>
      <c r="AJ24" s="9" t="n">
        <f aca="false">AJ$5*(1+A_pore*AJ$6*($A24/100))/(1-AJ$6*(1+((1-phimax_pore)/phimax_pore^2)*($A24/100))*($A24/100))</f>
        <v>0.879150283813834</v>
      </c>
      <c r="AK24" s="9" t="n">
        <f aca="false">AK$5*(1+A_pore*AK$6*($A24/100))/(1-AK$6*(1+((1-phimax_pore)/phimax_pore^2)*($A24/100))*($A24/100))</f>
        <v>1.215957620267</v>
      </c>
    </row>
    <row r="25" customFormat="false" ht="15" hidden="false" customHeight="false" outlineLevel="0" collapsed="false">
      <c r="A25" s="4" t="n">
        <v>16</v>
      </c>
      <c r="B25" s="9" t="n">
        <f aca="false">B$5*(1+A_pore*B$6*($A25/100))/(1-B$6*(1+((1-phimax_pore)/phimax_pore^2)*($A25/100))*($A25/100))</f>
        <v>0.081469504583585</v>
      </c>
      <c r="C25" s="9" t="n">
        <f aca="false">C$5*(1+A_pore*C$6*($A25/100))/(1-C$6*(1+((1-phimax_pore)/phimax_pore^2)*($A25/100))*($A25/100))</f>
        <v>0.0854054361752151</v>
      </c>
      <c r="D25" s="9" t="n">
        <f aca="false">D$5*(1+A_pore*D$6*($A25/100))/(1-D$6*(1+((1-phimax_pore)/phimax_pore^2)*($A25/100))*($A25/100))</f>
        <v>0.0893950994057121</v>
      </c>
      <c r="E25" s="9" t="n">
        <f aca="false">E$5*(1+A_pore*E$6*($A25/100))/(1-E$6*(1+((1-phimax_pore)/phimax_pore^2)*($A25/100))*($A25/100))</f>
        <v>0.0934522498735178</v>
      </c>
      <c r="F25" s="9" t="n">
        <f aca="false">F$5*(1+A_pore*F$6*($A25/100))/(1-F$6*(1+((1-phimax_pore)/phimax_pore^2)*($A25/100))*($A25/100))</f>
        <v>0.0975914322973651</v>
      </c>
      <c r="G25" s="9" t="n">
        <f aca="false">G$5*(1+A_pore*G$6*($A25/100))/(1-G$6*(1+((1-phimax_pore)/phimax_pore^2)*($A25/100))*($A25/100))</f>
        <v>0.101828196863619</v>
      </c>
      <c r="H25" s="9" t="n">
        <f aca="false">H$5*(1+A_pore*H$6*($A25/100))/(1-H$6*(1+((1-phimax_pore)/phimax_pore^2)*($A25/100))*($A25/100))</f>
        <v>0.106179344283086</v>
      </c>
      <c r="I25" s="9" t="n">
        <f aca="false">I$5*(1+A_pore*I$6*($A25/100))/(1-I$6*(1+((1-phimax_pore)/phimax_pore^2)*($A25/100))*($A25/100))</f>
        <v>0.110663208052184</v>
      </c>
      <c r="J25" s="9" t="n">
        <f aca="false">J$5*(1+A_pore*J$6*($A25/100))/(1-J$6*(1+((1-phimax_pore)/phimax_pore^2)*($A25/100))*($A25/100))</f>
        <v>0.115299984401628</v>
      </c>
      <c r="K25" s="9" t="n">
        <f aca="false">K$5*(1+A_pore*K$6*($A25/100))/(1-K$6*(1+((1-phimax_pore)/phimax_pore^2)*($A25/100))*($A25/100))</f>
        <v>0.120112123093053</v>
      </c>
      <c r="L25" s="9" t="n">
        <f aca="false">L$5*(1+A_pore*L$6*($A25/100))/(1-L$6*(1+((1-phimax_pore)/phimax_pore^2)*($A25/100))*($A25/100))</f>
        <v>0.125124795829316</v>
      </c>
      <c r="M25" s="9" t="n">
        <f aca="false">M$5*(1+A_pore*M$6*($A25/100))/(1-M$6*(1+((1-phimax_pore)/phimax_pore^2)*($A25/100))*($A25/100))</f>
        <v>0.130366463918554</v>
      </c>
      <c r="N25" s="9" t="n">
        <f aca="false">N$5*(1+A_pore*N$6*($A25/100))/(1-N$6*(1+((1-phimax_pore)/phimax_pore^2)*($A25/100))*($A25/100))</f>
        <v>0.135869573466314</v>
      </c>
      <c r="O25" s="9" t="n">
        <f aca="false">O$5*(1+A_pore*O$6*($A25/100))/(1-O$6*(1+((1-phimax_pore)/phimax_pore^2)*($A25/100))*($A25/100))</f>
        <v>0.141671415477468</v>
      </c>
      <c r="P25" s="9" t="n">
        <f aca="false">P$5*(1+A_pore*P$6*($A25/100))/(1-P$6*(1+((1-phimax_pore)/phimax_pore^2)*($A25/100))*($A25/100))</f>
        <v>0.147815200879876</v>
      </c>
      <c r="Q25" s="9" t="n">
        <f aca="false">Q$5*(1+A_pore*Q$6*($A25/100))/(1-Q$6*(1+((1-phimax_pore)/phimax_pore^2)*($A25/100))*($A25/100))</f>
        <v>0.154351418200303</v>
      </c>
      <c r="R25" s="9" t="n">
        <f aca="false">R$5*(1+A_pore*R$6*($A25/100))/(1-R$6*(1+((1-phimax_pore)/phimax_pore^2)*($A25/100))*($A25/100))</f>
        <v>0.161339566799522</v>
      </c>
      <c r="S25" s="9" t="n">
        <f aca="false">S$5*(1+A_pore*S$6*($A25/100))/(1-S$6*(1+((1-phimax_pore)/phimax_pore^2)*($A25/100))*($A25/100))</f>
        <v>0.168850394853954</v>
      </c>
      <c r="T25" s="9" t="n">
        <f aca="false">T$5*(1+A_pore*T$6*($A25/100))/(1-T$6*(1+((1-phimax_pore)/phimax_pore^2)*($A25/100))*($A25/100))</f>
        <v>0.176968824365576</v>
      </c>
      <c r="U25" s="9" t="n">
        <f aca="false">U$5*(1+A_pore*U$6*($A25/100))/(1-U$6*(1+((1-phimax_pore)/phimax_pore^2)*($A25/100))*($A25/100))</f>
        <v>0.185797824507991</v>
      </c>
      <c r="V25" s="9" t="n">
        <f aca="false">V$5*(1+A_pore*V$6*($A25/100))/(1-V$6*(1+((1-phimax_pore)/phimax_pore^2)*($A25/100))*($A25/100))</f>
        <v>0.195463614444632</v>
      </c>
      <c r="W25" s="9" t="n">
        <f aca="false">W$5*(1+A_pore*W$6*($A25/100))/(1-W$6*(1+((1-phimax_pore)/phimax_pore^2)*($A25/100))*($A25/100))</f>
        <v>0.206122762207879</v>
      </c>
      <c r="X25" s="9" t="n">
        <f aca="false">X$5*(1+A_pore*X$6*($A25/100))/(1-X$6*(1+((1-phimax_pore)/phimax_pore^2)*($A25/100))*($A25/100))</f>
        <v>0.217972039817462</v>
      </c>
      <c r="Y25" s="9" t="n">
        <f aca="false">Y$5*(1+A_pore*Y$6*($A25/100))/(1-Y$6*(1+((1-phimax_pore)/phimax_pore^2)*($A25/100))*($A25/100))</f>
        <v>0.231262371448833</v>
      </c>
      <c r="Z25" s="9" t="n">
        <f aca="false">Z$5*(1+A_pore*Z$6*($A25/100))/(1-Z$6*(1+((1-phimax_pore)/phimax_pore^2)*($A25/100))*($A25/100))</f>
        <v>0.246319007367965</v>
      </c>
      <c r="AA25" s="9" t="n">
        <f aca="false">AA$5*(1+A_pore*AA$6*($A25/100))/(1-AA$6*(1+((1-phimax_pore)/phimax_pore^2)*($A25/100))*($A25/100))</f>
        <v>0.263571428258682</v>
      </c>
      <c r="AB25" s="9" t="n">
        <f aca="false">AB$5*(1+A_pore*AB$6*($A25/100))/(1-AB$6*(1+((1-phimax_pore)/phimax_pore^2)*($A25/100))*($A25/100))</f>
        <v>0.283598936153397</v>
      </c>
      <c r="AC25" s="9" t="n">
        <f aca="false">AC$5*(1+A_pore*AC$6*($A25/100))/(1-AC$6*(1+((1-phimax_pore)/phimax_pore^2)*($A25/100))*($A25/100))</f>
        <v>0.307202453996832</v>
      </c>
      <c r="AD25" s="9" t="n">
        <f aca="false">AD$5*(1+A_pore*AD$6*($A25/100))/(1-AD$6*(1+((1-phimax_pore)/phimax_pore^2)*($A25/100))*($A25/100))</f>
        <v>0.335521976508301</v>
      </c>
      <c r="AE25" s="9" t="n">
        <f aca="false">AE$5*(1+A_pore*AE$6*($A25/100))/(1-AE$6*(1+((1-phimax_pore)/phimax_pore^2)*($A25/100))*($A25/100))</f>
        <v>0.370237552593105</v>
      </c>
      <c r="AF25" s="9" t="n">
        <f aca="false">AF$5*(1+A_pore*AF$6*($A25/100))/(1-AF$6*(1+((1-phimax_pore)/phimax_pore^2)*($A25/100))*($A25/100))</f>
        <v>0.413932432423763</v>
      </c>
      <c r="AG25" s="9" t="n">
        <f aca="false">AG$5*(1+A_pore*AG$6*($A25/100))/(1-AG$6*(1+((1-phimax_pore)/phimax_pore^2)*($A25/100))*($A25/100))</f>
        <v>0.470794752623317</v>
      </c>
      <c r="AH25" s="9" t="n">
        <f aca="false">AH$5*(1+A_pore*AH$6*($A25/100))/(1-AH$6*(1+((1-phimax_pore)/phimax_pore^2)*($A25/100))*($A25/100))</f>
        <v>0.548093692558345</v>
      </c>
      <c r="AI25" s="9" t="n">
        <f aca="false">AI$5*(1+A_pore*AI$6*($A25/100))/(1-AI$6*(1+((1-phimax_pore)/phimax_pore^2)*($A25/100))*($A25/100))</f>
        <v>0.659652193264136</v>
      </c>
      <c r="AJ25" s="9" t="n">
        <f aca="false">AJ$5*(1+A_pore*AJ$6*($A25/100))/(1-AJ$6*(1+((1-phimax_pore)/phimax_pore^2)*($A25/100))*($A25/100))</f>
        <v>0.835383644258056</v>
      </c>
      <c r="AK25" s="9" t="n">
        <f aca="false">AK$5*(1+A_pore*AK$6*($A25/100))/(1-AK$6*(1+((1-phimax_pore)/phimax_pore^2)*($A25/100))*($A25/100))</f>
        <v>1.15431714527537</v>
      </c>
    </row>
    <row r="26" customFormat="false" ht="15" hidden="false" customHeight="false" outlineLevel="0" collapsed="false">
      <c r="A26" s="4" t="n">
        <v>17</v>
      </c>
      <c r="B26" s="9" t="n">
        <f aca="false">B$5*(1+A_pore*B$6*($A26/100))/(1-B$6*(1+((1-phimax_pore)/phimax_pore^2)*($A26/100))*($A26/100))</f>
        <v>0.0798057382334029</v>
      </c>
      <c r="C26" s="9" t="n">
        <f aca="false">C$5*(1+A_pore*C$6*($A26/100))/(1-C$6*(1+((1-phimax_pore)/phimax_pore^2)*($A26/100))*($A26/100))</f>
        <v>0.0835709681712835</v>
      </c>
      <c r="D26" s="9" t="n">
        <f aca="false">D$5*(1+A_pore*D$6*($A26/100))/(1-D$6*(1+((1-phimax_pore)/phimax_pore^2)*($A26/100))*($A26/100))</f>
        <v>0.0873834927700877</v>
      </c>
      <c r="E26" s="9" t="n">
        <f aca="false">E$5*(1+A_pore*E$6*($A26/100))/(1-E$6*(1+((1-phimax_pore)/phimax_pore^2)*($A26/100))*($A26/100))</f>
        <v>0.0912567245428723</v>
      </c>
      <c r="F26" s="9" t="n">
        <f aca="false">F$5*(1+A_pore*F$6*($A26/100))/(1-F$6*(1+((1-phimax_pore)/phimax_pore^2)*($A26/100))*($A26/100))</f>
        <v>0.0952047797671391</v>
      </c>
      <c r="G26" s="9" t="n">
        <f aca="false">G$5*(1+A_pore*G$6*($A26/100))/(1-G$6*(1+((1-phimax_pore)/phimax_pore^2)*($A26/100))*($A26/100))</f>
        <v>0.0992426897737691</v>
      </c>
      <c r="H26" s="9" t="n">
        <f aca="false">H$5*(1+A_pore*H$6*($A26/100))/(1-H$6*(1+((1-phimax_pore)/phimax_pore^2)*($A26/100))*($A26/100))</f>
        <v>0.103386638522927</v>
      </c>
      <c r="I26" s="9" t="n">
        <f aca="false">I$5*(1+A_pore*I$6*($A26/100))/(1-I$6*(1+((1-phimax_pore)/phimax_pore^2)*($A26/100))*($A26/100))</f>
        <v>0.107654234685679</v>
      </c>
      <c r="J26" s="9" t="n">
        <f aca="false">J$5*(1+A_pore*J$6*($A26/100))/(1-J$6*(1+((1-phimax_pore)/phimax_pore^2)*($A26/100))*($A26/100))</f>
        <v>0.112064828305532</v>
      </c>
      <c r="K26" s="9" t="n">
        <f aca="false">K$5*(1+A_pore*K$6*($A26/100))/(1-K$6*(1+((1-phimax_pore)/phimax_pore^2)*($A26/100))*($A26/100))</f>
        <v>0.1166398846293</v>
      </c>
      <c r="L26" s="9" t="n">
        <f aca="false">L$5*(1+A_pore*L$6*($A26/100))/(1-L$6*(1+((1-phimax_pore)/phimax_pore^2)*($A26/100))*($A26/100))</f>
        <v>0.121403431096933</v>
      </c>
      <c r="M26" s="9" t="n">
        <f aca="false">M$5*(1+A_pore*M$6*($A26/100))/(1-M$6*(1+((1-phimax_pore)/phimax_pore^2)*($A26/100))*($A26/100))</f>
        <v>0.126382598087623</v>
      </c>
      <c r="N26" s="9" t="n">
        <f aca="false">N$5*(1+A_pore*N$6*($A26/100))/(1-N$6*(1+((1-phimax_pore)/phimax_pore^2)*($A26/100))*($A26/100))</f>
        <v>0.131608280299441</v>
      </c>
      <c r="O26" s="9" t="n">
        <f aca="false">O$5*(1+A_pore*O$6*($A26/100))/(1-O$6*(1+((1-phimax_pore)/phimax_pore^2)*($A26/100))*($A26/100))</f>
        <v>0.137115954267745</v>
      </c>
      <c r="P26" s="9" t="n">
        <f aca="false">P$5*(1+A_pore*P$6*($A26/100))/(1-P$6*(1+((1-phimax_pore)/phimax_pore^2)*($A26/100))*($A26/100))</f>
        <v>0.142946699498953</v>
      </c>
      <c r="Q26" s="9" t="n">
        <f aca="false">Q$5*(1+A_pore*Q$6*($A26/100))/(1-Q$6*(1+((1-phimax_pore)/phimax_pore^2)*($A26/100))*($A26/100))</f>
        <v>0.149148487495195</v>
      </c>
      <c r="R26" s="9" t="n">
        <f aca="false">R$5*(1+A_pore*R$6*($A26/100))/(1-R$6*(1+((1-phimax_pore)/phimax_pore^2)*($A26/100))*($A26/100))</f>
        <v>0.155777826819296</v>
      </c>
      <c r="S26" s="9" t="n">
        <f aca="false">S$5*(1+A_pore*S$6*($A26/100))/(1-S$6*(1+((1-phimax_pore)/phimax_pore^2)*($A26/100))*($A26/100))</f>
        <v>0.162901886756304</v>
      </c>
      <c r="T26" s="9" t="n">
        <f aca="false">T$5*(1+A_pore*T$6*($A26/100))/(1-T$6*(1+((1-phimax_pore)/phimax_pore^2)*($A26/100))*($A26/100))</f>
        <v>0.17060127248326</v>
      </c>
      <c r="U26" s="9" t="n">
        <f aca="false">U$5*(1+A_pore*U$6*($A26/100))/(1-U$6*(1+((1-phimax_pore)/phimax_pore^2)*($A26/100))*($A26/100))</f>
        <v>0.178973699610805</v>
      </c>
      <c r="V26" s="9" t="n">
        <f aca="false">V$5*(1+A_pore*V$6*($A26/100))/(1-V$6*(1+((1-phimax_pore)/phimax_pore^2)*($A26/100))*($A26/100))</f>
        <v>0.188138929612783</v>
      </c>
      <c r="W26" s="9" t="n">
        <f aca="false">W$5*(1+A_pore*W$6*($A26/100))/(1-W$6*(1+((1-phimax_pore)/phimax_pore^2)*($A26/100))*($A26/100))</f>
        <v>0.198245503556915</v>
      </c>
      <c r="X26" s="9" t="n">
        <f aca="false">X$5*(1+A_pore*X$6*($A26/100))/(1-X$6*(1+((1-phimax_pore)/phimax_pore^2)*($A26/100))*($A26/100))</f>
        <v>0.20948009001319</v>
      </c>
      <c r="Y26" s="9" t="n">
        <f aca="false">Y$5*(1+A_pore*Y$6*($A26/100))/(1-Y$6*(1+((1-phimax_pore)/phimax_pore^2)*($A26/100))*($A26/100))</f>
        <v>0.222080715093597</v>
      </c>
      <c r="Z26" s="9" t="n">
        <f aca="false">Z$5*(1+A_pore*Z$6*($A26/100))/(1-Z$6*(1+((1-phimax_pore)/phimax_pore^2)*($A26/100))*($A26/100))</f>
        <v>0.23635589748026</v>
      </c>
      <c r="AA26" s="9" t="n">
        <f aca="false">AA$5*(1+A_pore*AA$6*($A26/100))/(1-AA$6*(1+((1-phimax_pore)/phimax_pore^2)*($A26/100))*($A26/100))</f>
        <v>0.252713012533699</v>
      </c>
      <c r="AB26" s="9" t="n">
        <f aca="false">AB$5*(1+A_pore*AB$6*($A26/100))/(1-AB$6*(1+((1-phimax_pore)/phimax_pore^2)*($A26/100))*($A26/100))</f>
        <v>0.271701534863525</v>
      </c>
      <c r="AC26" s="9" t="n">
        <f aca="false">AC$5*(1+A_pore*AC$6*($A26/100))/(1-AC$6*(1+((1-phimax_pore)/phimax_pore^2)*($A26/100))*($A26/100))</f>
        <v>0.294081139353854</v>
      </c>
      <c r="AD26" s="9" t="n">
        <f aca="false">AD$5*(1+A_pore*AD$6*($A26/100))/(1-AD$6*(1+((1-phimax_pore)/phimax_pore^2)*($A26/100))*($A26/100))</f>
        <v>0.320933101725114</v>
      </c>
      <c r="AE26" s="9" t="n">
        <f aca="false">AE$5*(1+A_pore*AE$6*($A26/100))/(1-AE$6*(1+((1-phimax_pore)/phimax_pore^2)*($A26/100))*($A26/100))</f>
        <v>0.353850927487283</v>
      </c>
      <c r="AF26" s="9" t="n">
        <f aca="false">AF$5*(1+A_pore*AF$6*($A26/100))/(1-AF$6*(1+((1-phimax_pore)/phimax_pore^2)*($A26/100))*($A26/100))</f>
        <v>0.395284791628009</v>
      </c>
      <c r="AG26" s="9" t="n">
        <f aca="false">AG$5*(1+A_pore*AG$6*($A26/100))/(1-AG$6*(1+((1-phimax_pore)/phimax_pore^2)*($A26/100))*($A26/100))</f>
        <v>0.449207076604803</v>
      </c>
      <c r="AH26" s="9" t="n">
        <f aca="false">AH$5*(1+A_pore*AH$6*($A26/100))/(1-AH$6*(1+((1-phimax_pore)/phimax_pore^2)*($A26/100))*($A26/100))</f>
        <v>0.522512484592273</v>
      </c>
      <c r="AI26" s="9" t="n">
        <f aca="false">AI$5*(1+A_pore*AI$6*($A26/100))/(1-AI$6*(1+((1-phimax_pore)/phimax_pore^2)*($A26/100))*($A26/100))</f>
        <v>0.628311859549499</v>
      </c>
      <c r="AJ26" s="9" t="n">
        <f aca="false">AJ$5*(1+A_pore*AJ$6*($A26/100))/(1-AJ$6*(1+((1-phimax_pore)/phimax_pore^2)*($A26/100))*($A26/100))</f>
        <v>0.794977592270418</v>
      </c>
      <c r="AK26" s="9" t="n">
        <f aca="false">AK$5*(1+A_pore*AK$6*($A26/100))/(1-AK$6*(1+((1-phimax_pore)/phimax_pore^2)*($A26/100))*($A26/100))</f>
        <v>1.09746758805438</v>
      </c>
    </row>
    <row r="27" customFormat="false" ht="15" hidden="false" customHeight="false" outlineLevel="0" collapsed="false">
      <c r="A27" s="4" t="n">
        <v>18</v>
      </c>
      <c r="B27" s="9" t="n">
        <f aca="false">B$5*(1+A_pore*B$6*($A27/100))/(1-B$6*(1+((1-phimax_pore)/phimax_pore^2)*($A27/100))*($A27/100))</f>
        <v>0.0782014078393629</v>
      </c>
      <c r="C27" s="9" t="n">
        <f aca="false">C$5*(1+A_pore*C$6*($A27/100))/(1-C$6*(1+((1-phimax_pore)/phimax_pore^2)*($A27/100))*($A27/100))</f>
        <v>0.0818052090673179</v>
      </c>
      <c r="D27" s="9" t="n">
        <f aca="false">D$5*(1+A_pore*D$6*($A27/100))/(1-D$6*(1+((1-phimax_pore)/phimax_pore^2)*($A27/100))*($A27/100))</f>
        <v>0.0854505662556989</v>
      </c>
      <c r="E27" s="9" t="n">
        <f aca="false">E$5*(1+A_pore*E$6*($A27/100))/(1-E$6*(1+((1-phimax_pore)/phimax_pore^2)*($A27/100))*($A27/100))</f>
        <v>0.0891505688872728</v>
      </c>
      <c r="F27" s="9" t="n">
        <f aca="false">F$5*(1+A_pore*F$6*($A27/100))/(1-F$6*(1+((1-phimax_pore)/phimax_pore^2)*($A27/100))*($A27/100))</f>
        <v>0.0929189308157967</v>
      </c>
      <c r="G27" s="9" t="n">
        <f aca="false">G$5*(1+A_pore*G$6*($A27/100))/(1-G$6*(1+((1-phimax_pore)/phimax_pore^2)*($A27/100))*($A27/100))</f>
        <v>0.09677019716327</v>
      </c>
      <c r="H27" s="9" t="n">
        <f aca="false">H$5*(1+A_pore*H$6*($A27/100))/(1-H$6*(1+((1-phimax_pore)/phimax_pore^2)*($A27/100))*($A27/100))</f>
        <v>0.100719975197057</v>
      </c>
      <c r="I27" s="9" t="n">
        <f aca="false">I$5*(1+A_pore*I$6*($A27/100))/(1-I$6*(1+((1-phimax_pore)/phimax_pore^2)*($A27/100))*($A27/100))</f>
        <v>0.104785197167768</v>
      </c>
      <c r="J27" s="9" t="n">
        <f aca="false">J$5*(1+A_pore*J$6*($A27/100))/(1-J$6*(1+((1-phimax_pore)/phimax_pore^2)*($A27/100))*($A27/100))</f>
        <v>0.108984424817597</v>
      </c>
      <c r="K27" s="9" t="n">
        <f aca="false">K$5*(1+A_pore*K$6*($A27/100))/(1-K$6*(1+((1-phimax_pore)/phimax_pore^2)*($A27/100))*($A27/100))</f>
        <v>0.113338207631281</v>
      </c>
      <c r="L27" s="9" t="n">
        <f aca="false">L$5*(1+A_pore*L$6*($A27/100))/(1-L$6*(1+((1-phimax_pore)/phimax_pore^2)*($A27/100))*($A27/100))</f>
        <v>0.117869510110483</v>
      </c>
      <c r="M27" s="9" t="n">
        <f aca="false">M$5*(1+A_pore*M$6*($A27/100))/(1-M$6*(1+((1-phimax_pore)/phimax_pore^2)*($A27/100))*($A27/100))</f>
        <v>0.122604227712163</v>
      </c>
      <c r="N27" s="9" t="n">
        <f aca="false">N$5*(1+A_pore*N$6*($A27/100))/(1-N$6*(1+((1-phimax_pore)/phimax_pore^2)*($A27/100))*($A27/100))</f>
        <v>0.127571817043049</v>
      </c>
      <c r="O27" s="9" t="n">
        <f aca="false">O$5*(1+A_pore*O$6*($A27/100))/(1-O$6*(1+((1-phimax_pore)/phimax_pore^2)*($A27/100))*($A27/100))</f>
        <v>0.132806074086794</v>
      </c>
      <c r="P27" s="9" t="n">
        <f aca="false">P$5*(1+A_pore*P$6*($A27/100))/(1-P$6*(1+((1-phimax_pore)/phimax_pore^2)*($A27/100))*($A27/100))</f>
        <v>0.138346105602745</v>
      </c>
      <c r="Q27" s="9" t="n">
        <f aca="false">Q$5*(1+A_pore*Q$6*($A27/100))/(1-Q$6*(1+((1-phimax_pore)/phimax_pore^2)*($A27/100))*($A27/100))</f>
        <v>0.144237554784752</v>
      </c>
      <c r="R27" s="9" t="n">
        <f aca="false">R$5*(1+A_pore*R$6*($A27/100))/(1-R$6*(1+((1-phimax_pore)/phimax_pore^2)*($A27/100))*($A27/100))</f>
        <v>0.150534164939601</v>
      </c>
      <c r="S27" s="9" t="n">
        <f aca="false">S$5*(1+A_pore*S$6*($A27/100))/(1-S$6*(1+((1-phimax_pore)/phimax_pore^2)*($A27/100))*($A27/100))</f>
        <v>0.157299797621661</v>
      </c>
      <c r="T27" s="9" t="n">
        <f aca="false">T$5*(1+A_pore*T$6*($A27/100))/(1-T$6*(1+((1-phimax_pore)/phimax_pore^2)*($A27/100))*($A27/100))</f>
        <v>0.164611069487298</v>
      </c>
      <c r="U27" s="9" t="n">
        <f aca="false">U$5*(1+A_pore*U$6*($A27/100))/(1-U$6*(1+((1-phimax_pore)/phimax_pore^2)*($A27/100))*($A27/100))</f>
        <v>0.172560843323652</v>
      </c>
      <c r="V27" s="9" t="n">
        <f aca="false">V$5*(1+A_pore*V$6*($A27/100))/(1-V$6*(1+((1-phimax_pore)/phimax_pore^2)*($A27/100))*($A27/100))</f>
        <v>0.181262916658322</v>
      </c>
      <c r="W27" s="9" t="n">
        <f aca="false">W$5*(1+A_pore*W$6*($A27/100))/(1-W$6*(1+((1-phimax_pore)/phimax_pore^2)*($A27/100))*($A27/100))</f>
        <v>0.190858418432868</v>
      </c>
      <c r="X27" s="9" t="n">
        <f aca="false">X$5*(1+A_pore*X$6*($A27/100))/(1-X$6*(1+((1-phimax_pore)/phimax_pore^2)*($A27/100))*($A27/100))</f>
        <v>0.201524688724236</v>
      </c>
      <c r="Y27" s="9" t="n">
        <f aca="false">Y$5*(1+A_pore*Y$6*($A27/100))/(1-Y$6*(1+((1-phimax_pore)/phimax_pore^2)*($A27/100))*($A27/100))</f>
        <v>0.213487845909396</v>
      </c>
      <c r="Z27" s="9" t="n">
        <f aca="false">Z$5*(1+A_pore*Z$6*($A27/100))/(1-Z$6*(1+((1-phimax_pore)/phimax_pore^2)*($A27/100))*($A27/100))</f>
        <v>0.227040962724495</v>
      </c>
      <c r="AA27" s="9" t="n">
        <f aca="false">AA$5*(1+A_pore*AA$6*($A27/100))/(1-AA$6*(1+((1-phimax_pore)/phimax_pore^2)*($A27/100))*($A27/100))</f>
        <v>0.242571008667756</v>
      </c>
      <c r="AB27" s="9" t="n">
        <f aca="false">AB$5*(1+A_pore*AB$6*($A27/100))/(1-AB$6*(1+((1-phimax_pore)/phimax_pore^2)*($A27/100))*($A27/100))</f>
        <v>0.260599924909749</v>
      </c>
      <c r="AC27" s="9" t="n">
        <f aca="false">AC$5*(1+A_pore*AC$6*($A27/100))/(1-AC$6*(1+((1-phimax_pore)/phimax_pore^2)*($A27/100))*($A27/100))</f>
        <v>0.281849311374665</v>
      </c>
      <c r="AD27" s="9" t="n">
        <f aca="false">AD$5*(1+A_pore*AD$6*($A27/100))/(1-AD$6*(1+((1-phimax_pore)/phimax_pore^2)*($A27/100))*($A27/100))</f>
        <v>0.307346242559969</v>
      </c>
      <c r="AE27" s="9" t="n">
        <f aca="false">AE$5*(1+A_pore*AE$6*($A27/100))/(1-AE$6*(1+((1-phimax_pore)/phimax_pore^2)*($A27/100))*($A27/100))</f>
        <v>0.33860433970929</v>
      </c>
      <c r="AF27" s="9" t="n">
        <f aca="false">AF$5*(1+A_pore*AF$6*($A27/100))/(1-AF$6*(1+((1-phimax_pore)/phimax_pore^2)*($A27/100))*($A27/100))</f>
        <v>0.377950942602424</v>
      </c>
      <c r="AG27" s="9" t="n">
        <f aca="false">AG$5*(1+A_pore*AG$6*($A27/100))/(1-AG$6*(1+((1-phimax_pore)/phimax_pore^2)*($A27/100))*($A27/100))</f>
        <v>0.429159281803974</v>
      </c>
      <c r="AH27" s="9" t="n">
        <f aca="false">AH$5*(1+A_pore*AH$6*($A27/100))/(1-AH$6*(1+((1-phimax_pore)/phimax_pore^2)*($A27/100))*($A27/100))</f>
        <v>0.498778398281408</v>
      </c>
      <c r="AI27" s="9" t="n">
        <f aca="false">AI$5*(1+A_pore*AI$6*($A27/100))/(1-AI$6*(1+((1-phimax_pore)/phimax_pore^2)*($A27/100))*($A27/100))</f>
        <v>0.599261834309392</v>
      </c>
      <c r="AJ27" s="9" t="n">
        <f aca="false">AJ$5*(1+A_pore*AJ$6*($A27/100))/(1-AJ$6*(1+((1-phimax_pore)/phimax_pore^2)*($A27/100))*($A27/100))</f>
        <v>0.757559559718862</v>
      </c>
      <c r="AK27" s="9" t="n">
        <f aca="false">AK$5*(1+A_pore*AK$6*($A27/100))/(1-AK$6*(1+((1-phimax_pore)/phimax_pore^2)*($A27/100))*($A27/100))</f>
        <v>1.04487155599159</v>
      </c>
    </row>
    <row r="28" customFormat="false" ht="15" hidden="false" customHeight="false" outlineLevel="0" collapsed="false">
      <c r="A28" s="4" t="n">
        <v>19</v>
      </c>
      <c r="B28" s="9" t="n">
        <f aca="false">B$5*(1+A_pore*B$6*($A28/100))/(1-B$6*(1+((1-phimax_pore)/phimax_pore^2)*($A28/100))*($A28/100))</f>
        <v>0.0766533862698665</v>
      </c>
      <c r="C28" s="9" t="n">
        <f aca="false">C$5*(1+A_pore*C$6*($A28/100))/(1-C$6*(1+((1-phimax_pore)/phimax_pore^2)*($A28/100))*($A28/100))</f>
        <v>0.080104371868291</v>
      </c>
      <c r="D28" s="9" t="n">
        <f aca="false">D$5*(1+A_pore*D$6*($A28/100))/(1-D$6*(1+((1-phimax_pore)/phimax_pore^2)*($A28/100))*($A28/100))</f>
        <v>0.0835917948564862</v>
      </c>
      <c r="E28" s="9" t="n">
        <f aca="false">E$5*(1+A_pore*E$6*($A28/100))/(1-E$6*(1+((1-phimax_pore)/phimax_pore^2)*($A28/100))*($A28/100))</f>
        <v>0.087128437991923</v>
      </c>
      <c r="F28" s="9" t="n">
        <f aca="false">F$5*(1+A_pore*F$6*($A28/100))/(1-F$6*(1+((1-phimax_pore)/phimax_pore^2)*($A28/100))*($A28/100))</f>
        <v>0.0907276345693656</v>
      </c>
      <c r="G28" s="9" t="n">
        <f aca="false">G$5*(1+A_pore*G$6*($A28/100))/(1-G$6*(1+((1-phimax_pore)/phimax_pore^2)*($A28/100))*($A28/100))</f>
        <v>0.0944034714822567</v>
      </c>
      <c r="H28" s="9" t="n">
        <f aca="false">H$5*(1+A_pore*H$6*($A28/100))/(1-H$6*(1+((1-phimax_pore)/phimax_pore^2)*($A28/100))*($A28/100))</f>
        <v>0.0981710140636428</v>
      </c>
      <c r="I28" s="9" t="n">
        <f aca="false">I$5*(1+A_pore*I$6*($A28/100))/(1-I$6*(1+((1-phimax_pore)/phimax_pore^2)*($A28/100))*($A28/100))</f>
        <v>0.102046560483505</v>
      </c>
      <c r="J28" s="9" t="n">
        <f aca="false">J$5*(1+A_pore*J$6*($A28/100))/(1-J$6*(1+((1-phimax_pore)/phimax_pore^2)*($A28/100))*($A28/100))</f>
        <v>0.106047935086827</v>
      </c>
      <c r="K28" s="9" t="n">
        <f aca="false">K$5*(1+A_pore*K$6*($A28/100))/(1-K$6*(1+((1-phimax_pore)/phimax_pore^2)*($A28/100))*($A28/100))</f>
        <v>0.110194832274805</v>
      </c>
      <c r="L28" s="9" t="n">
        <f aca="false">L$5*(1+A_pore*L$6*($A28/100))/(1-L$6*(1+((1-phimax_pore)/phimax_pore^2)*($A28/100))*($A28/100))</f>
        <v>0.114509225560569</v>
      </c>
      <c r="M28" s="9" t="n">
        <f aca="false">M$5*(1+A_pore*M$6*($A28/100))/(1-M$6*(1+((1-phimax_pore)/phimax_pore^2)*($A28/100))*($A28/100))</f>
        <v>0.11901586055934</v>
      </c>
      <c r="N28" s="9" t="n">
        <f aca="false">N$5*(1+A_pore*N$6*($A28/100))/(1-N$6*(1+((1-phimax_pore)/phimax_pore^2)*($A28/100))*($A28/100))</f>
        <v>0.123742856319141</v>
      </c>
      <c r="O28" s="9" t="n">
        <f aca="false">O$5*(1+A_pore*O$6*($A28/100))/(1-O$6*(1+((1-phimax_pore)/phimax_pore^2)*($A28/100))*($A28/100))</f>
        <v>0.128722447171115</v>
      </c>
      <c r="P28" s="9" t="n">
        <f aca="false">P$5*(1+A_pore*P$6*($A28/100))/(1-P$6*(1+((1-phimax_pore)/phimax_pore^2)*($A28/100))*($A28/100))</f>
        <v>0.133991908076144</v>
      </c>
      <c r="Q28" s="9" t="n">
        <f aca="false">Q$5*(1+A_pore*Q$6*($A28/100))/(1-Q$6*(1+((1-phimax_pore)/phimax_pore^2)*($A28/100))*($A28/100))</f>
        <v>0.139594721607042</v>
      </c>
      <c r="R28" s="9" t="n">
        <f aca="false">R$5*(1+A_pore*R$6*($A28/100))/(1-R$6*(1+((1-phimax_pore)/phimax_pore^2)*($A28/100))*($A28/100))</f>
        <v>0.145582066262609</v>
      </c>
      <c r="S28" s="9" t="n">
        <f aca="false">S$5*(1+A_pore*S$6*($A28/100))/(1-S$6*(1+((1-phimax_pore)/phimax_pore^2)*($A28/100))*($A28/100))</f>
        <v>0.152014736884973</v>
      </c>
      <c r="T28" s="9" t="n">
        <f aca="false">T$5*(1+A_pore*T$6*($A28/100))/(1-T$6*(1+((1-phimax_pore)/phimax_pore^2)*($A28/100))*($A28/100))</f>
        <v>0.158965653437247</v>
      </c>
      <c r="U28" s="9" t="n">
        <f aca="false">U$5*(1+A_pore*U$6*($A28/100))/(1-U$6*(1+((1-phimax_pore)/phimax_pore^2)*($A28/100))*($A28/100))</f>
        <v>0.166523182107148</v>
      </c>
      <c r="V28" s="9" t="n">
        <f aca="false">V$5*(1+A_pore*V$6*($A28/100))/(1-V$6*(1+((1-phimax_pore)/phimax_pore^2)*($A28/100))*($A28/100))</f>
        <v>0.174795595375952</v>
      </c>
      <c r="W28" s="9" t="n">
        <f aca="false">W$5*(1+A_pore*W$6*($A28/100))/(1-W$6*(1+((1-phimax_pore)/phimax_pore^2)*($A28/100))*($A28/100))</f>
        <v>0.183917156601361</v>
      </c>
      <c r="X28" s="9" t="n">
        <f aca="false">X$5*(1+A_pore*X$6*($A28/100))/(1-X$6*(1+((1-phimax_pore)/phimax_pore^2)*($A28/100))*($A28/100))</f>
        <v>0.194056566236381</v>
      </c>
      <c r="Y28" s="9" t="n">
        <f aca="false">Y$5*(1+A_pore*Y$6*($A28/100))/(1-Y$6*(1+((1-phimax_pore)/phimax_pore^2)*($A28/100))*($A28/100))</f>
        <v>0.205428915231098</v>
      </c>
      <c r="Z28" s="9" t="n">
        <f aca="false">Z$5*(1+A_pore*Z$6*($A28/100))/(1-Z$6*(1+((1-phimax_pore)/phimax_pore^2)*($A28/100))*($A28/100))</f>
        <v>0.218312973177429</v>
      </c>
      <c r="AA28" s="9" t="n">
        <f aca="false">AA$5*(1+A_pore*AA$6*($A28/100))/(1-AA$6*(1+((1-phimax_pore)/phimax_pore^2)*($A28/100))*($A28/100))</f>
        <v>0.233076814352226</v>
      </c>
      <c r="AB28" s="9" t="n">
        <f aca="false">AB$5*(1+A_pore*AB$6*($A28/100))/(1-AB$6*(1+((1-phimax_pore)/phimax_pore^2)*($A28/100))*($A28/100))</f>
        <v>0.250216885590813</v>
      </c>
      <c r="AC28" s="9" t="n">
        <f aca="false">AC$5*(1+A_pore*AC$6*($A28/100))/(1-AC$6*(1+((1-phimax_pore)/phimax_pore^2)*($A28/100))*($A28/100))</f>
        <v>0.270419532401332</v>
      </c>
      <c r="AD28" s="9" t="n">
        <f aca="false">AD$5*(1+A_pore*AD$6*($A28/100))/(1-AD$6*(1+((1-phimax_pore)/phimax_pore^2)*($A28/100))*($A28/100))</f>
        <v>0.294661643881288</v>
      </c>
      <c r="AE28" s="9" t="n">
        <f aca="false">AE$5*(1+A_pore*AE$6*($A28/100))/(1-AE$6*(1+((1-phimax_pore)/phimax_pore^2)*($A28/100))*($A28/100))</f>
        <v>0.324382876286347</v>
      </c>
      <c r="AF28" s="9" t="n">
        <f aca="false">AF$5*(1+A_pore*AF$6*($A28/100))/(1-AF$6*(1+((1-phimax_pore)/phimax_pore^2)*($A28/100))*($A28/100))</f>
        <v>0.361796836508581</v>
      </c>
      <c r="AG28" s="9" t="n">
        <f aca="false">AG$5*(1+A_pore*AG$6*($A28/100))/(1-AG$6*(1+((1-phimax_pore)/phimax_pore^2)*($A28/100))*($A28/100))</f>
        <v>0.410492361050339</v>
      </c>
      <c r="AH28" s="9" t="n">
        <f aca="false">AH$5*(1+A_pore*AH$6*($A28/100))/(1-AH$6*(1+((1-phimax_pore)/phimax_pore^2)*($A28/100))*($A28/100))</f>
        <v>0.476698444425124</v>
      </c>
      <c r="AI28" s="9" t="n">
        <f aca="false">AI$5*(1+A_pore*AI$6*($A28/100))/(1-AI$6*(1+((1-phimax_pore)/phimax_pore^2)*($A28/100))*($A28/100))</f>
        <v>0.572260035436115</v>
      </c>
      <c r="AJ28" s="9" t="n">
        <f aca="false">AJ$5*(1+A_pore*AJ$6*($A28/100))/(1-AJ$6*(1+((1-phimax_pore)/phimax_pore^2)*($A28/100))*($A28/100))</f>
        <v>0.722810088263056</v>
      </c>
      <c r="AK28" s="9" t="n">
        <f aca="false">AK$5*(1+A_pore*AK$6*($A28/100))/(1-AK$6*(1+((1-phimax_pore)/phimax_pore^2)*($A28/100))*($A28/100))</f>
        <v>0.996069131356155</v>
      </c>
    </row>
    <row r="29" customFormat="false" ht="15" hidden="false" customHeight="false" outlineLevel="0" collapsed="false">
      <c r="A29" s="4" t="n">
        <v>20</v>
      </c>
      <c r="B29" s="9" t="n">
        <f aca="false">B$5*(1+A_pore*B$6*($A29/100))/(1-B$6*(1+((1-phimax_pore)/phimax_pore^2)*($A29/100))*($A29/100))</f>
        <v>0.0751587619838726</v>
      </c>
      <c r="C29" s="9" t="n">
        <f aca="false">C$5*(1+A_pore*C$6*($A29/100))/(1-C$6*(1+((1-phimax_pore)/phimax_pore^2)*($A29/100))*($A29/100))</f>
        <v>0.0784649428588288</v>
      </c>
      <c r="D29" s="9" t="n">
        <f aca="false">D$5*(1+A_pore*D$6*($A29/100))/(1-D$6*(1+((1-phimax_pore)/phimax_pore^2)*($A29/100))*($A29/100))</f>
        <v>0.0818029940246827</v>
      </c>
      <c r="E29" s="9" t="n">
        <f aca="false">E$5*(1+A_pore*E$6*($A29/100))/(1-E$6*(1+((1-phimax_pore)/phimax_pore^2)*($A29/100))*($A29/100))</f>
        <v>0.0851854048264311</v>
      </c>
      <c r="F29" s="9" t="n">
        <f aca="false">F$5*(1+A_pore*F$6*($A29/100))/(1-F$6*(1+((1-phimax_pore)/phimax_pore^2)*($A29/100))*($A29/100))</f>
        <v>0.0886251465119147</v>
      </c>
      <c r="G29" s="9" t="n">
        <f aca="false">G$5*(1+A_pore*G$6*($A29/100))/(1-G$6*(1+((1-phimax_pore)/phimax_pore^2)*($A29/100))*($A29/100))</f>
        <v>0.0921358719173842</v>
      </c>
      <c r="H29" s="9" t="n">
        <f aca="false">H$5*(1+A_pore*H$6*($A29/100))/(1-H$6*(1+((1-phimax_pore)/phimax_pore^2)*($A29/100))*($A29/100))</f>
        <v>0.0957321348323049</v>
      </c>
      <c r="I29" s="9" t="n">
        <f aca="false">I$5*(1+A_pore*I$6*($A29/100))/(1-I$6*(1+((1-phimax_pore)/phimax_pore^2)*($A29/100))*($A29/100))</f>
        <v>0.0994296366460316</v>
      </c>
      <c r="J29" s="9" t="n">
        <f aca="false">J$5*(1+A_pore*J$6*($A29/100))/(1-J$6*(1+((1-phimax_pore)/phimax_pore^2)*($A29/100))*($A29/100))</f>
        <v>0.103245509369821</v>
      </c>
      <c r="K29" s="9" t="n">
        <f aca="false">K$5*(1+A_pore*K$6*($A29/100))/(1-K$6*(1+((1-phimax_pore)/phimax_pore^2)*($A29/100))*($A29/100))</f>
        <v>0.107198646208746</v>
      </c>
      <c r="L29" s="9" t="n">
        <f aca="false">L$5*(1+A_pore*L$6*($A29/100))/(1-L$6*(1+((1-phimax_pore)/phimax_pore^2)*($A29/100))*($A29/100))</f>
        <v>0.111310093718054</v>
      </c>
      <c r="M29" s="9" t="n">
        <f aca="false">M$5*(1+A_pore*M$6*($A29/100))/(1-M$6*(1+((1-phimax_pore)/phimax_pore^2)*($A29/100))*($A29/100))</f>
        <v>0.115603523490801</v>
      </c>
      <c r="N29" s="9" t="n">
        <f aca="false">N$5*(1+A_pore*N$6*($A29/100))/(1-N$6*(1+((1-phimax_pore)/phimax_pore^2)*($A29/100))*($A29/100))</f>
        <v>0.120105806685093</v>
      </c>
      <c r="O29" s="9" t="n">
        <f aca="false">O$5*(1+A_pore*O$6*($A29/100))/(1-O$6*(1+((1-phimax_pore)/phimax_pore^2)*($A29/100))*($A29/100))</f>
        <v>0.124847722089127</v>
      </c>
      <c r="P29" s="9" t="n">
        <f aca="false">P$5*(1+A_pore*P$6*($A29/100))/(1-P$6*(1+((1-phimax_pore)/phimax_pore^2)*($A29/100))*($A29/100))</f>
        <v>0.129864838694976</v>
      </c>
      <c r="Q29" s="9" t="n">
        <f aca="false">Q$5*(1+A_pore*Q$6*($A29/100))/(1-Q$6*(1+((1-phimax_pore)/phimax_pore^2)*($A29/100))*($A29/100))</f>
        <v>0.135198628183329</v>
      </c>
      <c r="R29" s="9" t="n">
        <f aca="false">R$5*(1+A_pore*R$6*($A29/100))/(1-R$6*(1+((1-phimax_pore)/phimax_pore^2)*($A29/100))*($A29/100))</f>
        <v>0.14089788324362</v>
      </c>
      <c r="S29" s="9" t="n">
        <f aca="false">S$5*(1+A_pore*S$6*($A29/100))/(1-S$6*(1+((1-phimax_pore)/phimax_pore^2)*($A29/100))*($A29/100))</f>
        <v>0.14702054724141</v>
      </c>
      <c r="T29" s="9" t="n">
        <f aca="false">T$5*(1+A_pore*T$6*($A29/100))/(1-T$6*(1+((1-phimax_pore)/phimax_pore^2)*($A29/100))*($A29/100))</f>
        <v>0.153636104056212</v>
      </c>
      <c r="U29" s="9" t="n">
        <f aca="false">U$5*(1+A_pore*U$6*($A29/100))/(1-U$6*(1+((1-phimax_pore)/phimax_pore^2)*($A29/100))*($A29/100))</f>
        <v>0.16082874138788</v>
      </c>
      <c r="V29" s="9" t="n">
        <f aca="false">V$5*(1+A_pore*V$6*($A29/100))/(1-V$6*(1+((1-phimax_pore)/phimax_pore^2)*($A29/100))*($A29/100))</f>
        <v>0.16870159860222</v>
      </c>
      <c r="W29" s="9" t="n">
        <f aca="false">W$5*(1+A_pore*W$6*($A29/100))/(1-W$6*(1+((1-phimax_pore)/phimax_pore^2)*($A29/100))*($A29/100))</f>
        <v>0.177382561512114</v>
      </c>
      <c r="X29" s="9" t="n">
        <f aca="false">X$5*(1+A_pore*X$6*($A29/100))/(1-X$6*(1+((1-phimax_pore)/phimax_pore^2)*($A29/100))*($A29/100))</f>
        <v>0.187032306059938</v>
      </c>
      <c r="Y29" s="9" t="n">
        <f aca="false">Y$5*(1+A_pore*Y$6*($A29/100))/(1-Y$6*(1+((1-phimax_pore)/phimax_pore^2)*($A29/100))*($A29/100))</f>
        <v>0.197855681805218</v>
      </c>
      <c r="Z29" s="9" t="n">
        <f aca="false">Z$5*(1+A_pore*Z$6*($A29/100))/(1-Z$6*(1+((1-phimax_pore)/phimax_pore^2)*($A29/100))*($A29/100))</f>
        <v>0.210118175595822</v>
      </c>
      <c r="AA29" s="9" t="n">
        <f aca="false">AA$5*(1+A_pore*AA$6*($A29/100))/(1-AA$6*(1+((1-phimax_pore)/phimax_pore^2)*($A29/100))*($A29/100))</f>
        <v>0.224170315310067</v>
      </c>
      <c r="AB29" s="9" t="n">
        <f aca="false">AB$5*(1+A_pore*AB$6*($A29/100))/(1-AB$6*(1+((1-phimax_pore)/phimax_pore^2)*($A29/100))*($A29/100))</f>
        <v>0.240484874109239</v>
      </c>
      <c r="AC29" s="9" t="n">
        <f aca="false">AC$5*(1+A_pore*AC$6*($A29/100))/(1-AC$6*(1+((1-phimax_pore)/phimax_pore^2)*($A29/100))*($A29/100))</f>
        <v>0.259715461461568</v>
      </c>
      <c r="AD29" s="9" t="n">
        <f aca="false">AD$5*(1+A_pore*AD$6*($A29/100))/(1-AD$6*(1+((1-phimax_pore)/phimax_pore^2)*($A29/100))*($A29/100))</f>
        <v>0.282792366662832</v>
      </c>
      <c r="AE29" s="9" t="n">
        <f aca="false">AE$5*(1+A_pore*AE$6*($A29/100))/(1-AE$6*(1+((1-phimax_pore)/phimax_pore^2)*($A29/100))*($A29/100))</f>
        <v>0.311086566116589</v>
      </c>
      <c r="AF29" s="9" t="n">
        <f aca="false">AF$5*(1+A_pore*AF$6*($A29/100))/(1-AF$6*(1+((1-phimax_pore)/phimax_pore^2)*($A29/100))*($A29/100))</f>
        <v>0.346706061017846</v>
      </c>
      <c r="AG29" s="9" t="n">
        <f aca="false">AG$5*(1+A_pore*AG$6*($A29/100))/(1-AG$6*(1+((1-phimax_pore)/phimax_pore^2)*($A29/100))*($A29/100))</f>
        <v>0.393068470672447</v>
      </c>
      <c r="AH29" s="9" t="n">
        <f aca="false">AH$5*(1+A_pore*AH$6*($A29/100))/(1-AH$6*(1+((1-phimax_pore)/phimax_pore^2)*($A29/100))*($A29/100))</f>
        <v>0.456105613925083</v>
      </c>
      <c r="AI29" s="9" t="n">
        <f aca="false">AI$5*(1+A_pore*AI$6*($A29/100))/(1-AI$6*(1+((1-phimax_pore)/phimax_pore^2)*($A29/100))*($A29/100))</f>
        <v>0.547097336592643</v>
      </c>
      <c r="AJ29" s="9" t="n">
        <f aca="false">AJ$5*(1+A_pore*AJ$6*($A29/100))/(1-AJ$6*(1+((1-phimax_pore)/phimax_pore^2)*($A29/100))*($A29/100))</f>
        <v>0.690453691469603</v>
      </c>
      <c r="AK29" s="9" t="n">
        <f aca="false">AK$5*(1+A_pore*AK$6*($A29/100))/(1-AK$6*(1+((1-phimax_pore)/phimax_pore^2)*($A29/100))*($A29/100))</f>
        <v>0.950664395243352</v>
      </c>
    </row>
    <row r="30" customFormat="false" ht="15" hidden="false" customHeight="false" outlineLevel="0" collapsed="false">
      <c r="A30" s="4" t="n">
        <v>21</v>
      </c>
      <c r="B30" s="9" t="n">
        <f aca="false">B$5*(1+A_pore*B$6*($A30/100))/(1-B$6*(1+((1-phimax_pore)/phimax_pore^2)*($A30/100))*($A30/100))</f>
        <v>0.0737148207666488</v>
      </c>
      <c r="C30" s="9" t="n">
        <f aca="false">C$5*(1+A_pore*C$6*($A30/100))/(1-C$6*(1+((1-phimax_pore)/phimax_pore^2)*($A30/100))*($A30/100))</f>
        <v>0.0768836573893111</v>
      </c>
      <c r="D30" s="9" t="n">
        <f aca="false">D$5*(1+A_pore*D$6*($A30/100))/(1-D$6*(1+((1-phimax_pore)/phimax_pore^2)*($A30/100))*($A30/100))</f>
        <v>0.0800802882421772</v>
      </c>
      <c r="E30" s="9" t="n">
        <f aca="false">E$5*(1+A_pore*E$6*($A30/100))/(1-E$6*(1+((1-phimax_pore)/phimax_pore^2)*($A30/100))*($A30/100))</f>
        <v>0.0833169201881466</v>
      </c>
      <c r="F30" s="9" t="n">
        <f aca="false">F$5*(1+A_pore*F$6*($A30/100))/(1-F$6*(1+((1-phimax_pore)/phimax_pore^2)*($A30/100))*($A30/100))</f>
        <v>0.086606178230766</v>
      </c>
      <c r="G30" s="9" t="n">
        <f aca="false">G$5*(1+A_pore*G$6*($A30/100))/(1-G$6*(1+((1-phimax_pore)/phimax_pore^2)*($A30/100))*($A30/100))</f>
        <v>0.0899613022014037</v>
      </c>
      <c r="H30" s="9" t="n">
        <f aca="false">H$5*(1+A_pore*H$6*($A30/100))/(1-H$6*(1+((1-phimax_pore)/phimax_pore^2)*($A30/100))*($A30/100))</f>
        <v>0.0933963611200828</v>
      </c>
      <c r="I30" s="9" t="n">
        <f aca="false">I$5*(1+A_pore*I$6*($A30/100))/(1-I$6*(1+((1-phimax_pore)/phimax_pore^2)*($A30/100))*($A30/100))</f>
        <v>0.0969264926844967</v>
      </c>
      <c r="J30" s="9" t="n">
        <f aca="false">J$5*(1+A_pore*J$6*($A30/100))/(1-J$6*(1+((1-phimax_pore)/phimax_pore^2)*($A30/100))*($A30/100))</f>
        <v>0.100568176720182</v>
      </c>
      <c r="K30" s="9" t="n">
        <f aca="false">K$5*(1+A_pore*K$6*($A30/100))/(1-K$6*(1+((1-phimax_pore)/phimax_pore^2)*($A30/100))*($A30/100))</f>
        <v>0.104339553375606</v>
      </c>
      <c r="L30" s="9" t="n">
        <f aca="false">L$5*(1+A_pore*L$6*($A30/100))/(1-L$6*(1+((1-phimax_pore)/phimax_pore^2)*($A30/100))*($A30/100))</f>
        <v>0.108260799546576</v>
      </c>
      <c r="M30" s="9" t="n">
        <f aca="false">M$5*(1+A_pore*M$6*($A30/100))/(1-M$6*(1+((1-phimax_pore)/phimax_pore^2)*($A30/100))*($A30/100))</f>
        <v>0.11235458072384</v>
      </c>
      <c r="N30" s="9" t="n">
        <f aca="false">N$5*(1+A_pore*N$6*($A30/100))/(1-N$6*(1+((1-phimax_pore)/phimax_pore^2)*($A30/100))*($A30/100))</f>
        <v>0.116646600553099</v>
      </c>
      <c r="O30" s="9" t="n">
        <f aca="false">O$5*(1+A_pore*O$6*($A30/100))/(1-O$6*(1+((1-phimax_pore)/phimax_pore^2)*($A30/100))*($A30/100))</f>
        <v>0.121166277429117</v>
      </c>
      <c r="P30" s="9" t="n">
        <f aca="false">P$5*(1+A_pore*P$6*($A30/100))/(1-P$6*(1+((1-phimax_pore)/phimax_pore^2)*($A30/100))*($A30/100))</f>
        <v>0.125947587229045</v>
      </c>
      <c r="Q30" s="9" t="n">
        <f aca="false">Q$5*(1+A_pore*Q$6*($A30/100))/(1-Q$6*(1+((1-phimax_pore)/phimax_pore^2)*($A30/100))*($A30/100))</f>
        <v>0.131030125040101</v>
      </c>
      <c r="R30" s="9" t="n">
        <f aca="false">R$5*(1+A_pore*R$6*($A30/100))/(1-R$6*(1+((1-phimax_pore)/phimax_pore^2)*($A30/100))*($A30/100))</f>
        <v>0.136460458295282</v>
      </c>
      <c r="S30" s="9" t="n">
        <f aca="false">S$5*(1+A_pore*S$6*($A30/100))/(1-S$6*(1+((1-phimax_pore)/phimax_pore^2)*($A30/100))*($A30/100))</f>
        <v>0.14229387193282</v>
      </c>
      <c r="T30" s="9" t="n">
        <f aca="false">T$5*(1+A_pore*T$6*($A30/100))/(1-T$6*(1+((1-phimax_pore)/phimax_pore^2)*($A30/100))*($A30/100))</f>
        <v>0.148596647482131</v>
      </c>
      <c r="U30" s="9" t="n">
        <f aca="false">U$5*(1+A_pore*U$6*($A30/100))/(1-U$6*(1+((1-phimax_pore)/phimax_pore^2)*($A30/100))*($A30/100))</f>
        <v>0.155449079443153</v>
      </c>
      <c r="V30" s="9" t="n">
        <f aca="false">V$5*(1+A_pore*V$6*($A30/100))/(1-V$6*(1+((1-phimax_pore)/phimax_pore^2)*($A30/100))*($A30/100))</f>
        <v>0.162949525535421</v>
      </c>
      <c r="W30" s="9" t="n">
        <f aca="false">W$5*(1+A_pore*W$6*($A30/100))/(1-W$6*(1+((1-phimax_pore)/phimax_pore^2)*($A30/100))*($A30/100))</f>
        <v>0.171219931658501</v>
      </c>
      <c r="X30" s="9" t="n">
        <f aca="false">X$5*(1+A_pore*X$6*($A30/100))/(1-X$6*(1+((1-phimax_pore)/phimax_pore^2)*($A30/100))*($A30/100))</f>
        <v>0.180413500799117</v>
      </c>
      <c r="Y30" s="9" t="n">
        <f aca="false">Y$5*(1+A_pore*Y$6*($A30/100))/(1-Y$6*(1+((1-phimax_pore)/phimax_pore^2)*($A30/100))*($A30/100))</f>
        <v>0.190725545916284</v>
      </c>
      <c r="Z30" s="9" t="n">
        <f aca="false">Z$5*(1+A_pore*Z$6*($A30/100))/(1-Z$6*(1+((1-phimax_pore)/phimax_pore^2)*($A30/100))*($A30/100))</f>
        <v>0.202409186016538</v>
      </c>
      <c r="AA30" s="9" t="n">
        <f aca="false">AA$5*(1+A_pore*AA$6*($A30/100))/(1-AA$6*(1+((1-phimax_pore)/phimax_pore^2)*($A30/100))*($A30/100))</f>
        <v>0.215798611924028</v>
      </c>
      <c r="AB30" s="9" t="n">
        <f aca="false">AB$5*(1+A_pore*AB$6*($A30/100))/(1-AB$6*(1+((1-phimax_pore)/phimax_pore^2)*($A30/100))*($A30/100))</f>
        <v>0.231344555493278</v>
      </c>
      <c r="AC30" s="9" t="n">
        <f aca="false">AC$5*(1+A_pore*AC$6*($A30/100))/(1-AC$6*(1+((1-phimax_pore)/phimax_pore^2)*($A30/100))*($A30/100))</f>
        <v>0.249670148056351</v>
      </c>
      <c r="AD30" s="9" t="n">
        <f aca="false">AD$5*(1+A_pore*AD$6*($A30/100))/(1-AD$6*(1+((1-phimax_pore)/phimax_pore^2)*($A30/100))*($A30/100))</f>
        <v>0.271662293836717</v>
      </c>
      <c r="AE30" s="9" t="n">
        <f aca="false">AE$5*(1+A_pore*AE$6*($A30/100))/(1-AE$6*(1+((1-phimax_pore)/phimax_pore^2)*($A30/100))*($A30/100))</f>
        <v>0.298628027857393</v>
      </c>
      <c r="AF30" s="9" t="n">
        <f aca="false">AF$5*(1+A_pore*AF$6*($A30/100))/(1-AF$6*(1+((1-phimax_pore)/phimax_pore^2)*($A30/100))*($A30/100))</f>
        <v>0.332577032180459</v>
      </c>
      <c r="AG30" s="9" t="n">
        <f aca="false">AG$5*(1+A_pore*AG$6*($A30/100))/(1-AG$6*(1+((1-phimax_pore)/phimax_pore^2)*($A30/100))*($A30/100))</f>
        <v>0.376767522866892</v>
      </c>
      <c r="AH30" s="9" t="n">
        <f aca="false">AH$5*(1+A_pore*AH$6*($A30/100))/(1-AH$6*(1+((1-phimax_pore)/phimax_pore^2)*($A30/100))*($A30/100))</f>
        <v>0.436854648342354</v>
      </c>
      <c r="AI30" s="9" t="n">
        <f aca="false">AI$5*(1+A_pore*AI$6*($A30/100))/(1-AI$6*(1+((1-phimax_pore)/phimax_pore^2)*($A30/100))*($A30/100))</f>
        <v>0.523592143763341</v>
      </c>
      <c r="AJ30" s="9" t="n">
        <f aca="false">AJ$5*(1+A_pore*AJ$6*($A30/100))/(1-AJ$6*(1+((1-phimax_pore)/phimax_pore^2)*($A30/100))*($A30/100))</f>
        <v>0.660251540842885</v>
      </c>
      <c r="AK30" s="9" t="n">
        <f aca="false">AK$5*(1+A_pore*AK$6*($A30/100))/(1-AK$6*(1+((1-phimax_pore)/phimax_pore^2)*($A30/100))*($A30/100))</f>
        <v>0.908314669800772</v>
      </c>
    </row>
    <row r="31" customFormat="false" ht="15" hidden="false" customHeight="false" outlineLevel="0" collapsed="false">
      <c r="A31" s="4" t="n">
        <v>22</v>
      </c>
      <c r="B31" s="9" t="n">
        <f aca="false">B$5*(1+A_pore*B$6*($A31/100))/(1-B$6*(1+((1-phimax_pore)/phimax_pore^2)*($A31/100))*($A31/100))</f>
        <v>0.0723190292913441</v>
      </c>
      <c r="C31" s="9" t="n">
        <f aca="false">C$5*(1+A_pore*C$6*($A31/100))/(1-C$6*(1+((1-phimax_pore)/phimax_pore^2)*($A31/100))*($A31/100))</f>
        <v>0.0753574781917048</v>
      </c>
      <c r="D31" s="9" t="n">
        <f aca="false">D$5*(1+A_pore*D$6*($A31/100))/(1-D$6*(1+((1-phimax_pore)/phimax_pore^2)*($A31/100))*($A31/100))</f>
        <v>0.0784200830102804</v>
      </c>
      <c r="E31" s="9" t="n">
        <f aca="false">E$5*(1+A_pore*E$6*($A31/100))/(1-E$6*(1+((1-phimax_pore)/phimax_pore^2)*($A31/100))*($A31/100))</f>
        <v>0.0815187771664236</v>
      </c>
      <c r="F31" s="9" t="n">
        <f aca="false">F$5*(1+A_pore*F$6*($A31/100))/(1-F$6*(1+((1-phimax_pore)/phimax_pore^2)*($A31/100))*($A31/100))</f>
        <v>0.084665853030411</v>
      </c>
      <c r="G31" s="9" t="n">
        <f aca="false">G$5*(1+A_pore*G$6*($A31/100))/(1-G$6*(1+((1-phimax_pore)/phimax_pore^2)*($A31/100))*($A31/100))</f>
        <v>0.0878741559184894</v>
      </c>
      <c r="H31" s="9" t="n">
        <f aca="false">H$5*(1+A_pore*H$6*($A31/100))/(1-H$6*(1+((1-phimax_pore)/phimax_pore^2)*($A31/100))*($A31/100))</f>
        <v>0.0911572938464818</v>
      </c>
      <c r="I31" s="9" t="n">
        <f aca="false">I$5*(1+A_pore*I$6*($A31/100))/(1-I$6*(1+((1-phimax_pore)/phimax_pore^2)*($A31/100))*($A31/100))</f>
        <v>0.094529870371191</v>
      </c>
      <c r="J31" s="9" t="n">
        <f aca="false">J$5*(1+A_pore*J$6*($A31/100))/(1-J$6*(1+((1-phimax_pore)/phimax_pore^2)*($A31/100))*($A31/100))</f>
        <v>0.0980077491187439</v>
      </c>
      <c r="K31" s="9" t="n">
        <f aca="false">K$5*(1+A_pore*K$6*($A31/100))/(1-K$6*(1+((1-phimax_pore)/phimax_pore^2)*($A31/100))*($A31/100))</f>
        <v>0.101608360425585</v>
      </c>
      <c r="L31" s="9" t="n">
        <f aca="false">L$5*(1+A_pore*L$6*($A31/100))/(1-L$6*(1+((1-phimax_pore)/phimax_pore^2)*($A31/100))*($A31/100))</f>
        <v>0.105351063067883</v>
      </c>
      <c r="M31" s="9" t="n">
        <f aca="false">M$5*(1+A_pore*M$6*($A31/100))/(1-M$6*(1+((1-phimax_pore)/phimax_pore^2)*($A31/100))*($A31/100))</f>
        <v>0.109257577573926</v>
      </c>
      <c r="N31" s="9" t="n">
        <f aca="false">N$5*(1+A_pore*N$6*($A31/100))/(1-N$6*(1+((1-phimax_pore)/phimax_pore^2)*($A31/100))*($A31/100))</f>
        <v>0.113352512460078</v>
      </c>
      <c r="O31" s="9" t="n">
        <f aca="false">O$5*(1+A_pore*O$6*($A31/100))/(1-O$6*(1+((1-phimax_pore)/phimax_pore^2)*($A31/100))*($A31/100))</f>
        <v>0.117664011429003</v>
      </c>
      <c r="P31" s="9" t="n">
        <f aca="false">P$5*(1+A_pore*P$6*($A31/100))/(1-P$6*(1+((1-phimax_pore)/phimax_pore^2)*($A31/100))*($A31/100))</f>
        <v>0.122224558895167</v>
      </c>
      <c r="Q31" s="9" t="n">
        <f aca="false">Q$5*(1+A_pore*Q$6*($A31/100))/(1-Q$6*(1+((1-phimax_pore)/phimax_pore^2)*($A31/100))*($A31/100))</f>
        <v>0.127071994316461</v>
      </c>
      <c r="R31" s="9" t="n">
        <f aca="false">R$5*(1+A_pore*R$6*($A31/100))/(1-R$6*(1+((1-phimax_pore)/phimax_pore^2)*($A31/100))*($A31/100))</f>
        <v>0.13225080446956</v>
      </c>
      <c r="S31" s="9" t="n">
        <f aca="false">S$5*(1+A_pore*S$6*($A31/100))/(1-S$6*(1+((1-phimax_pore)/phimax_pore^2)*($A31/100))*($A31/100))</f>
        <v>0.137813789715669</v>
      </c>
      <c r="T31" s="9" t="n">
        <f aca="false">T$5*(1+A_pore*T$6*($A31/100))/(1-T$6*(1+((1-phimax_pore)/phimax_pore^2)*($A31/100))*($A31/100))</f>
        <v>0.143824239700716</v>
      </c>
      <c r="U31" s="9" t="n">
        <f aca="false">U$5*(1+A_pore*U$6*($A31/100))/(1-U$6*(1+((1-phimax_pore)/phimax_pore^2)*($A31/100))*($A31/100))</f>
        <v>0.150358812588341</v>
      </c>
      <c r="V31" s="9" t="n">
        <f aca="false">V$5*(1+A_pore*V$6*($A31/100))/(1-V$6*(1+((1-phimax_pore)/phimax_pore^2)*($A31/100))*($A31/100))</f>
        <v>0.1575114008746</v>
      </c>
      <c r="W31" s="9" t="n">
        <f aca="false">W$5*(1+A_pore*W$6*($A31/100))/(1-W$6*(1+((1-phimax_pore)/phimax_pore^2)*($A31/100))*($A31/100))</f>
        <v>0.165398404509126</v>
      </c>
      <c r="X31" s="9" t="n">
        <f aca="false">X$5*(1+A_pore*X$6*($A31/100))/(1-X$6*(1+((1-phimax_pore)/phimax_pore^2)*($A31/100))*($A31/100))</f>
        <v>0.174166050010875</v>
      </c>
      <c r="Y31" s="9" t="n">
        <f aca="false">Y$5*(1+A_pore*Y$6*($A31/100))/(1-Y$6*(1+((1-phimax_pore)/phimax_pore^2)*($A31/100))*($A31/100))</f>
        <v>0.18400074813052</v>
      </c>
      <c r="Z31" s="9" t="n">
        <f aca="false">Z$5*(1+A_pore*Z$6*($A31/100))/(1-Z$6*(1+((1-phimax_pore)/phimax_pore^2)*($A31/100))*($A31/100))</f>
        <v>0.195144073519393</v>
      </c>
      <c r="AA31" s="9" t="n">
        <f aca="false">AA$5*(1+A_pore*AA$6*($A31/100))/(1-AA$6*(1+((1-phimax_pore)/phimax_pore^2)*($A31/100))*($A31/100))</f>
        <v>0.207914968424197</v>
      </c>
      <c r="AB31" s="9" t="n">
        <f aca="false">AB$5*(1+A_pore*AB$6*($A31/100))/(1-AB$6*(1+((1-phimax_pore)/phimax_pore^2)*($A31/100))*($A31/100))</f>
        <v>0.222743592584674</v>
      </c>
      <c r="AC31" s="9" t="n">
        <f aca="false">AC$5*(1+A_pore*AC$6*($A31/100))/(1-AC$6*(1+((1-phimax_pore)/phimax_pore^2)*($A31/100))*($A31/100))</f>
        <v>0.24022463136937</v>
      </c>
      <c r="AD31" s="9" t="n">
        <f aca="false">AD$5*(1+A_pore*AD$6*($A31/100))/(1-AD$6*(1+((1-phimax_pore)/phimax_pore^2)*($A31/100))*($A31/100))</f>
        <v>0.261204497248979</v>
      </c>
      <c r="AE31" s="9" t="n">
        <f aca="false">AE$5*(1+A_pore*AE$6*($A31/100))/(1-AE$6*(1+((1-phimax_pore)/phimax_pore^2)*($A31/100))*($A31/100))</f>
        <v>0.28693054856824</v>
      </c>
      <c r="AF31" s="9" t="n">
        <f aca="false">AF$5*(1+A_pore*AF$6*($A31/100))/(1-AF$6*(1+((1-phimax_pore)/phimax_pore^2)*($A31/100))*($A31/100))</f>
        <v>0.319320706277485</v>
      </c>
      <c r="AG31" s="9" t="n">
        <f aca="false">AG$5*(1+A_pore*AG$6*($A31/100))/(1-AG$6*(1+((1-phimax_pore)/phimax_pore^2)*($A31/100))*($A31/100))</f>
        <v>0.361484415939713</v>
      </c>
      <c r="AH31" s="9" t="n">
        <f aca="false">AH$5*(1+A_pore*AH$6*($A31/100))/(1-AH$6*(1+((1-phimax_pore)/phimax_pore^2)*($A31/100))*($A31/100))</f>
        <v>0.418818610642106</v>
      </c>
      <c r="AI31" s="9" t="n">
        <f aca="false">AI$5*(1+A_pore*AI$6*($A31/100))/(1-AI$6*(1+((1-phimax_pore)/phimax_pore^2)*($A31/100))*($A31/100))</f>
        <v>0.501586008704955</v>
      </c>
      <c r="AJ31" s="9" t="n">
        <f aca="false">AJ$5*(1+A_pore*AJ$6*($A31/100))/(1-AJ$6*(1+((1-phimax_pore)/phimax_pore^2)*($A31/100))*($A31/100))</f>
        <v>0.631995564718168</v>
      </c>
      <c r="AK31" s="9" t="n">
        <f aca="false">AK$5*(1+A_pore*AK$6*($A31/100))/(1-AK$6*(1+((1-phimax_pore)/phimax_pore^2)*($A31/100))*($A31/100))</f>
        <v>0.868721859847314</v>
      </c>
    </row>
    <row r="32" customFormat="false" ht="15" hidden="false" customHeight="false" outlineLevel="0" collapsed="false">
      <c r="A32" s="4" t="n">
        <v>23</v>
      </c>
      <c r="B32" s="9" t="n">
        <f aca="false">B$5*(1+A_pore*B$6*($A32/100))/(1-B$6*(1+((1-phimax_pore)/phimax_pore^2)*($A32/100))*($A32/100))</f>
        <v>0.0709690202969309</v>
      </c>
      <c r="C32" s="9" t="n">
        <f aca="false">C$5*(1+A_pore*C$6*($A32/100))/(1-C$6*(1+((1-phimax_pore)/phimax_pore^2)*($A32/100))*($A32/100))</f>
        <v>0.0738835759220662</v>
      </c>
      <c r="D32" s="9" t="n">
        <f aca="false">D$5*(1+A_pore*D$6*($A32/100))/(1-D$6*(1+((1-phimax_pore)/phimax_pore^2)*($A32/100))*($A32/100))</f>
        <v>0.0768190398318408</v>
      </c>
      <c r="E32" s="9" t="n">
        <f aca="false">E$5*(1+A_pore*E$6*($A32/100))/(1-E$6*(1+((1-phimax_pore)/phimax_pore^2)*($A32/100))*($A32/100))</f>
        <v>0.0797870795435148</v>
      </c>
      <c r="F32" s="9" t="n">
        <f aca="false">F$5*(1+A_pore*F$6*($A32/100))/(1-F$6*(1+((1-phimax_pore)/phimax_pore^2)*($A32/100))*($A32/100))</f>
        <v>0.0827996666308346</v>
      </c>
      <c r="G32" s="9" t="n">
        <f aca="false">G$5*(1+A_pore*G$6*($A32/100))/(1-G$6*(1+((1-phimax_pore)/phimax_pore^2)*($A32/100))*($A32/100))</f>
        <v>0.0858692682720411</v>
      </c>
      <c r="H32" s="9" t="n">
        <f aca="false">H$5*(1+A_pore*H$6*($A32/100))/(1-H$6*(1+((1-phimax_pore)/phimax_pore^2)*($A32/100))*($A32/100))</f>
        <v>0.0890090527283873</v>
      </c>
      <c r="I32" s="9" t="n">
        <f aca="false">I$5*(1+A_pore*I$6*($A32/100))/(1-I$6*(1+((1-phimax_pore)/phimax_pore^2)*($A32/100))*($A32/100))</f>
        <v>0.0922331159769149</v>
      </c>
      <c r="J32" s="9" t="n">
        <f aca="false">J$5*(1+A_pore*J$6*($A32/100))/(1-J$6*(1+((1-phimax_pore)/phimax_pore^2)*($A32/100))*($A32/100))</f>
        <v>0.0955567378861707</v>
      </c>
      <c r="K32" s="9" t="n">
        <f aca="false">K$5*(1+A_pore*K$6*($A32/100))/(1-K$6*(1+((1-phimax_pore)/phimax_pore^2)*($A32/100))*($A32/100))</f>
        <v>0.0989966780314743</v>
      </c>
      <c r="L32" s="9" t="n">
        <f aca="false">L$5*(1+A_pore*L$6*($A32/100))/(1-L$6*(1+((1-phimax_pore)/phimax_pore^2)*($A32/100))*($A32/100))</f>
        <v>0.102571523653806</v>
      </c>
      <c r="M32" s="9" t="n">
        <f aca="false">M$5*(1+A_pore*M$6*($A32/100))/(1-M$6*(1+((1-phimax_pore)/phimax_pore^2)*($A32/100))*($A32/100))</f>
        <v>0.106302105605633</v>
      </c>
      <c r="N32" s="9" t="n">
        <f aca="false">N$5*(1+A_pore*N$6*($A32/100))/(1-N$6*(1+((1-phimax_pore)/phimax_pore^2)*($A32/100))*($A32/100))</f>
        <v>0.110212002738798</v>
      </c>
      <c r="O32" s="9" t="n">
        <f aca="false">O$5*(1+A_pore*O$6*($A32/100))/(1-O$6*(1+((1-phimax_pore)/phimax_pore^2)*($A32/100))*($A32/100))</f>
        <v>0.114328161574465</v>
      </c>
      <c r="P32" s="9" t="n">
        <f aca="false">P$5*(1+A_pore*P$6*($A32/100))/(1-P$6*(1+((1-phimax_pore)/phimax_pore^2)*($A32/100))*($A32/100))</f>
        <v>0.118681666993236</v>
      </c>
      <c r="Q32" s="9" t="n">
        <f aca="false">Q$5*(1+A_pore*Q$6*($A32/100))/(1-Q$6*(1+((1-phimax_pore)/phimax_pore^2)*($A32/100))*($A32/100))</f>
        <v>0.123308712201997</v>
      </c>
      <c r="R32" s="9" t="n">
        <f aca="false">R$5*(1+A_pore*R$6*($A32/100))/(1-R$6*(1+((1-phimax_pore)/phimax_pore^2)*($A32/100))*($A32/100))</f>
        <v>0.12825183405098</v>
      </c>
      <c r="S32" s="9" t="n">
        <f aca="false">S$5*(1+A_pore*S$6*($A32/100))/(1-S$6*(1+((1-phimax_pore)/phimax_pore^2)*($A32/100))*($A32/100))</f>
        <v>0.133561505473723</v>
      </c>
      <c r="T32" s="9" t="n">
        <f aca="false">T$5*(1+A_pore*T$6*($A32/100))/(1-T$6*(1+((1-phimax_pore)/phimax_pore^2)*($A32/100))*($A32/100))</f>
        <v>0.13929821445247</v>
      </c>
      <c r="U32" s="9" t="n">
        <f aca="false">U$5*(1+A_pore*U$6*($A32/100))/(1-U$6*(1+((1-phimax_pore)/phimax_pore^2)*($A32/100))*($A32/100))</f>
        <v>0.145535214937102</v>
      </c>
      <c r="V32" s="9" t="n">
        <f aca="false">V$5*(1+A_pore*V$6*($A32/100))/(1-V$6*(1+((1-phimax_pore)/phimax_pore^2)*($A32/100))*($A32/100))</f>
        <v>0.1523622201124</v>
      </c>
      <c r="W32" s="9" t="n">
        <f aca="false">W$5*(1+A_pore*W$6*($A32/100))/(1-W$6*(1+((1-phimax_pore)/phimax_pore^2)*($A32/100))*($A32/100))</f>
        <v>0.159890439920119</v>
      </c>
      <c r="X32" s="9" t="n">
        <f aca="false">X$5*(1+A_pore*X$6*($A32/100))/(1-X$6*(1+((1-phimax_pore)/phimax_pore^2)*($A32/100))*($A32/100))</f>
        <v>0.168259572948718</v>
      </c>
      <c r="Y32" s="9" t="n">
        <f aca="false">Y$5*(1+A_pore*Y$6*($A32/100))/(1-Y$6*(1+((1-phimax_pore)/phimax_pore^2)*($A32/100))*($A32/100))</f>
        <v>0.177647700828563</v>
      </c>
      <c r="Z32" s="9" t="n">
        <f aca="false">Z$5*(1+A_pore*Z$6*($A32/100))/(1-Z$6*(1+((1-phimax_pore)/phimax_pore^2)*($A32/100))*($A32/100))</f>
        <v>0.188285597730477</v>
      </c>
      <c r="AA32" s="9" t="n">
        <f aca="false">AA$5*(1+A_pore*AA$6*($A32/100))/(1-AA$6*(1+((1-phimax_pore)/phimax_pore^2)*($A32/100))*($A32/100))</f>
        <v>0.200477940537484</v>
      </c>
      <c r="AB32" s="9" t="n">
        <f aca="false">AB$5*(1+A_pore*AB$6*($A32/100))/(1-AB$6*(1+((1-phimax_pore)/phimax_pore^2)*($A32/100))*($A32/100))</f>
        <v>0.214635643954394</v>
      </c>
      <c r="AC32" s="9" t="n">
        <f aca="false">AC$5*(1+A_pore*AC$6*($A32/100))/(1-AC$6*(1+((1-phimax_pore)/phimax_pore^2)*($A32/100))*($A32/100))</f>
        <v>0.231326782961814</v>
      </c>
      <c r="AD32" s="9" t="n">
        <f aca="false">AD$5*(1+A_pore*AD$6*($A32/100))/(1-AD$6*(1+((1-phimax_pore)/phimax_pore^2)*($A32/100))*($A32/100))</f>
        <v>0.251359891665567</v>
      </c>
      <c r="AE32" s="9" t="n">
        <f aca="false">AE$5*(1+A_pore*AE$6*($A32/100))/(1-AE$6*(1+((1-phimax_pore)/phimax_pore^2)*($A32/100))*($A32/100))</f>
        <v>0.275926503799964</v>
      </c>
      <c r="AF32" s="9" t="n">
        <f aca="false">AF$5*(1+A_pore*AF$6*($A32/100))/(1-AF$6*(1+((1-phimax_pore)/phimax_pore^2)*($A32/100))*($A32/100))</f>
        <v>0.306858702685618</v>
      </c>
      <c r="AG32" s="9" t="n">
        <f aca="false">AG$5*(1+A_pore*AG$6*($A32/100))/(1-AG$6*(1+((1-phimax_pore)/phimax_pore^2)*($A32/100))*($A32/100))</f>
        <v>0.347126767331305</v>
      </c>
      <c r="AH32" s="9" t="n">
        <f aca="false">AH$5*(1+A_pore*AH$6*($A32/100))/(1-AH$6*(1+((1-phimax_pore)/phimax_pore^2)*($A32/100))*($A32/100))</f>
        <v>0.401886084901987</v>
      </c>
      <c r="AI32" s="9" t="n">
        <f aca="false">AI$5*(1+A_pore*AI$6*($A32/100))/(1-AI$6*(1+((1-phimax_pore)/phimax_pore^2)*($A32/100))*($A32/100))</f>
        <v>0.480940055156286</v>
      </c>
      <c r="AJ32" s="9" t="n">
        <f aca="false">AJ$5*(1+A_pore*AJ$6*($A32/100))/(1-AJ$6*(1+((1-phimax_pore)/phimax_pore^2)*($A32/100))*($A32/100))</f>
        <v>0.605503651533883</v>
      </c>
      <c r="AK32" s="9" t="n">
        <f aca="false">AK$5*(1+A_pore*AK$6*($A32/100))/(1-AK$6*(1+((1-phimax_pore)/phimax_pore^2)*($A32/100))*($A32/100))</f>
        <v>0.831625430959524</v>
      </c>
    </row>
    <row r="33" customFormat="false" ht="15" hidden="false" customHeight="false" outlineLevel="0" collapsed="false">
      <c r="A33" s="4" t="n">
        <v>24</v>
      </c>
      <c r="B33" s="9" t="n">
        <f aca="false">B$5*(1+A_pore*B$6*($A33/100))/(1-B$6*(1+((1-phimax_pore)/phimax_pore^2)*($A33/100))*($A33/100))</f>
        <v>0.0696625792000808</v>
      </c>
      <c r="C33" s="9" t="n">
        <f aca="false">C$5*(1+A_pore*C$6*($A33/100))/(1-C$6*(1+((1-phimax_pore)/phimax_pore^2)*($A33/100))*($A33/100))</f>
        <v>0.0724593116674443</v>
      </c>
      <c r="D33" s="9" t="n">
        <f aca="false">D$5*(1+A_pore*D$6*($A33/100))/(1-D$6*(1+((1-phimax_pore)/phimax_pore^2)*($A33/100))*($A33/100))</f>
        <v>0.0752740538192795</v>
      </c>
      <c r="E33" s="9" t="n">
        <f aca="false">E$5*(1+A_pore*E$6*($A33/100))/(1-E$6*(1+((1-phimax_pore)/phimax_pore^2)*($A33/100))*($A33/100))</f>
        <v>0.078118213632538</v>
      </c>
      <c r="F33" s="9" t="n">
        <f aca="false">F$5*(1+A_pore*F$6*($A33/100))/(1-F$6*(1+((1-phimax_pore)/phimax_pore^2)*($A33/100))*($A33/100))</f>
        <v>0.0810034522834864</v>
      </c>
      <c r="G33" s="9" t="n">
        <f aca="false">G$5*(1+A_pore*G$6*($A33/100))/(1-G$6*(1+((1-phimax_pore)/phimax_pore^2)*($A33/100))*($A33/100))</f>
        <v>0.0839418734413276</v>
      </c>
      <c r="H33" s="9" t="n">
        <f aca="false">H$5*(1+A_pore*H$6*($A33/100))/(1-H$6*(1+((1-phimax_pore)/phimax_pore^2)*($A33/100))*($A33/100))</f>
        <v>0.0869462247484761</v>
      </c>
      <c r="I33" s="9" t="n">
        <f aca="false">I$5*(1+A_pore*I$6*($A33/100))/(1-I$6*(1+((1-phimax_pore)/phimax_pore^2)*($A33/100))*($A33/100))</f>
        <v>0.0900301186228034</v>
      </c>
      <c r="J33" s="9" t="n">
        <f aca="false">J$5*(1+A_pore*J$6*($A33/100))/(1-J$6*(1+((1-phimax_pore)/phimax_pore^2)*($A33/100))*($A33/100))</f>
        <v>0.0932082805804916</v>
      </c>
      <c r="K33" s="9" t="n">
        <f aca="false">K$5*(1+A_pore*K$6*($A33/100))/(1-K$6*(1+((1-phimax_pore)/phimax_pore^2)*($A33/100))*($A33/100))</f>
        <v>0.0964968348725978</v>
      </c>
      <c r="L33" s="9" t="n">
        <f aca="false">L$5*(1+A_pore*L$6*($A33/100))/(1-L$6*(1+((1-phimax_pore)/phimax_pore^2)*($A33/100))*($A33/100))</f>
        <v>0.0999136395006506</v>
      </c>
      <c r="M33" s="9" t="n">
        <f aca="false">M$5*(1+A_pore*M$6*($A33/100))/(1-M$6*(1+((1-phimax_pore)/phimax_pore^2)*($A33/100))*($A33/100))</f>
        <v>0.103478685846392</v>
      </c>
      <c r="N33" s="9" t="n">
        <f aca="false">N$5*(1+A_pore*N$6*($A33/100))/(1-N$6*(1+((1-phimax_pore)/phimax_pore^2)*($A33/100))*($A33/100))</f>
        <v>0.107214582542323</v>
      </c>
      <c r="O33" s="9" t="n">
        <f aca="false">O$5*(1+A_pore*O$6*($A33/100))/(1-O$6*(1+((1-phimax_pore)/phimax_pore^2)*($A33/100))*($A33/100))</f>
        <v>0.111147149300287</v>
      </c>
      <c r="P33" s="9" t="n">
        <f aca="false">P$5*(1+A_pore*P$6*($A33/100))/(1-P$6*(1+((1-phimax_pore)/phimax_pore^2)*($A33/100))*($A33/100))</f>
        <v>0.115306154911725</v>
      </c>
      <c r="Q33" s="9" t="n">
        <f aca="false">Q$5*(1+A_pore*Q$6*($A33/100))/(1-Q$6*(1+((1-phimax_pore)/phimax_pore^2)*($A33/100))*($A33/100))</f>
        <v>0.119726245593285</v>
      </c>
      <c r="R33" s="9" t="n">
        <f aca="false">R$5*(1+A_pore*R$6*($A33/100))/(1-R$6*(1+((1-phimax_pore)/phimax_pore^2)*($A33/100))*($A33/100))</f>
        <v>0.124448126878901</v>
      </c>
      <c r="S33" s="9" t="n">
        <f aca="false">S$5*(1+A_pore*S$6*($A33/100))/(1-S$6*(1+((1-phimax_pore)/phimax_pore^2)*($A33/100))*($A33/100))</f>
        <v>0.129520086824543</v>
      </c>
      <c r="T33" s="9" t="n">
        <f aca="false">T$5*(1+A_pore*T$6*($A33/100))/(1-T$6*(1+((1-phimax_pore)/phimax_pore^2)*($A33/100))*($A33/100))</f>
        <v>0.134999984264425</v>
      </c>
      <c r="U33" s="9" t="n">
        <f aca="false">U$5*(1+A_pore*U$6*($A33/100))/(1-U$6*(1+((1-phimax_pore)/phimax_pore^2)*($A33/100))*($A33/100))</f>
        <v>0.140957879418769</v>
      </c>
      <c r="V33" s="9" t="n">
        <f aca="false">V$5*(1+A_pore*V$6*($A33/100))/(1-V$6*(1+((1-phimax_pore)/phimax_pore^2)*($A33/100))*($A33/100))</f>
        <v>0.147479565385108</v>
      </c>
      <c r="W33" s="9" t="n">
        <f aca="false">W$5*(1+A_pore*W$6*($A33/100))/(1-W$6*(1+((1-phimax_pore)/phimax_pore^2)*($A33/100))*($A33/100))</f>
        <v>0.154671384778193</v>
      </c>
      <c r="X33" s="9" t="n">
        <f aca="false">X$5*(1+A_pore*X$6*($A33/100))/(1-X$6*(1+((1-phimax_pore)/phimax_pore^2)*($A33/100))*($A33/100))</f>
        <v>0.162666914843129</v>
      </c>
      <c r="Y33" s="9" t="n">
        <f aca="false">Y$5*(1+A_pore*Y$6*($A33/100))/(1-Y$6*(1+((1-phimax_pore)/phimax_pore^2)*($A33/100))*($A33/100))</f>
        <v>0.171636427542948</v>
      </c>
      <c r="Z33" s="9" t="n">
        <f aca="false">Z$5*(1+A_pore*Z$6*($A33/100))/(1-Z$6*(1+((1-phimax_pore)/phimax_pore^2)*($A33/100))*($A33/100))</f>
        <v>0.181800570788252</v>
      </c>
      <c r="AA33" s="9" t="n">
        <f aca="false">AA$5*(1+A_pore*AA$6*($A33/100))/(1-AA$6*(1+((1-phimax_pore)/phimax_pore^2)*($A33/100))*($A33/100))</f>
        <v>0.193450647212332</v>
      </c>
      <c r="AB33" s="9" t="n">
        <f aca="false">AB$5*(1+A_pore*AB$6*($A33/100))/(1-AB$6*(1+((1-phimax_pore)/phimax_pore^2)*($A33/100))*($A33/100))</f>
        <v>0.20697952922165</v>
      </c>
      <c r="AC33" s="9" t="n">
        <f aca="false">AC$5*(1+A_pore*AC$6*($A33/100))/(1-AC$6*(1+((1-phimax_pore)/phimax_pore^2)*($A33/100))*($A33/100))</f>
        <v>0.222930344966285</v>
      </c>
      <c r="AD33" s="9" t="n">
        <f aca="false">AD$5*(1+A_pore*AD$6*($A33/100))/(1-AD$6*(1+((1-phimax_pore)/phimax_pore^2)*($A33/100))*($A33/100))</f>
        <v>0.242076118638127</v>
      </c>
      <c r="AE33" s="9" t="n">
        <f aca="false">AE$5*(1+A_pore*AE$6*($A33/100))/(1-AE$6*(1+((1-phimax_pore)/phimax_pore^2)*($A33/100))*($A33/100))</f>
        <v>0.265556050374894</v>
      </c>
      <c r="AF33" s="9" t="n">
        <f aca="false">AF$5*(1+A_pore*AF$6*($A33/100))/(1-AF$6*(1+((1-phimax_pore)/phimax_pore^2)*($A33/100))*($A33/100))</f>
        <v>0.295121754124745</v>
      </c>
      <c r="AG33" s="9" t="n">
        <f aca="false">AG$5*(1+A_pore*AG$6*($A33/100))/(1-AG$6*(1+((1-phimax_pore)/phimax_pore^2)*($A33/100))*($A33/100))</f>
        <v>0.333613046071971</v>
      </c>
      <c r="AH33" s="9" t="n">
        <f aca="false">AH$5*(1+A_pore*AH$6*($A33/100))/(1-AH$6*(1+((1-phimax_pore)/phimax_pore^2)*($A33/100))*($A33/100))</f>
        <v>0.385958874390792</v>
      </c>
      <c r="AI33" s="9" t="n">
        <f aca="false">AI$5*(1+A_pore*AI$6*($A33/100))/(1-AI$6*(1+((1-phimax_pore)/phimax_pore^2)*($A33/100))*($A33/100))</f>
        <v>0.46153204737947</v>
      </c>
      <c r="AJ33" s="9" t="n">
        <f aca="false">AJ$5*(1+A_pore*AJ$6*($A33/100))/(1-AJ$6*(1+((1-phimax_pore)/phimax_pore^2)*($A33/100))*($A33/100))</f>
        <v>0.58061572364756</v>
      </c>
      <c r="AK33" s="9" t="n">
        <f aca="false">AK$5*(1+A_pore*AK$6*($A33/100))/(1-AK$6*(1+((1-phimax_pore)/phimax_pore^2)*($A33/100))*($A33/100))</f>
        <v>0.796796674196675</v>
      </c>
    </row>
    <row r="34" customFormat="false" ht="15" hidden="false" customHeight="false" outlineLevel="0" collapsed="false">
      <c r="A34" s="4" t="n">
        <v>25</v>
      </c>
      <c r="B34" s="9" t="n">
        <f aca="false">B$5*(1+A_pore*B$6*($A34/100))/(1-B$6*(1+((1-phimax_pore)/phimax_pore^2)*($A34/100))*($A34/100))</f>
        <v>0.0683976319816994</v>
      </c>
      <c r="C34" s="9" t="n">
        <f aca="false">C$5*(1+A_pore*C$6*($A34/100))/(1-C$6*(1+((1-phimax_pore)/phimax_pore^2)*($A34/100))*($A34/100))</f>
        <v>0.071082221189637</v>
      </c>
      <c r="D34" s="9" t="n">
        <f aca="false">D$5*(1+A_pore*D$6*($A34/100))/(1-D$6*(1+((1-phimax_pore)/phimax_pore^2)*($A34/100))*($A34/100))</f>
        <v>0.0737822336125159</v>
      </c>
      <c r="E34" s="9" t="n">
        <f aca="false">E$5*(1+A_pore*E$6*($A34/100))/(1-E$6*(1+((1-phimax_pore)/phimax_pore^2)*($A34/100))*($A34/100))</f>
        <v>0.0765088231241179</v>
      </c>
      <c r="F34" s="9" t="n">
        <f aca="false">F$5*(1+A_pore*F$6*($A34/100))/(1-F$6*(1+((1-phimax_pore)/phimax_pore^2)*($A34/100))*($A34/100))</f>
        <v>0.0792733497362353</v>
      </c>
      <c r="G34" s="9" t="n">
        <f aca="false">G$5*(1+A_pore*G$6*($A34/100))/(1-G$6*(1+((1-phimax_pore)/phimax_pore^2)*($A34/100))*($A34/100))</f>
        <v>0.0820875667857523</v>
      </c>
      <c r="H34" s="9" t="n">
        <f aca="false">H$5*(1+A_pore*H$6*($A34/100))/(1-H$6*(1+((1-phimax_pore)/phimax_pore^2)*($A34/100))*($A34/100))</f>
        <v>0.084963818646276</v>
      </c>
      <c r="I34" s="9" t="n">
        <f aca="false">I$5*(1+A_pore*I$6*($A34/100))/(1-I$6*(1+((1-phimax_pore)/phimax_pore^2)*($A34/100))*($A34/100))</f>
        <v>0.0879152560257768</v>
      </c>
      <c r="J34" s="9" t="n">
        <f aca="false">J$5*(1+A_pore*J$6*($A34/100))/(1-J$6*(1+((1-phimax_pore)/phimax_pore^2)*($A34/100))*($A34/100))</f>
        <v>0.0909560768766002</v>
      </c>
      <c r="K34" s="9" t="n">
        <f aca="false">K$5*(1+A_pore*K$6*($A34/100))/(1-K$6*(1+((1-phimax_pore)/phimax_pore^2)*($A34/100))*($A34/100))</f>
        <v>0.0941018024300555</v>
      </c>
      <c r="L34" s="9" t="n">
        <f aca="false">L$5*(1+A_pore*L$6*($A34/100))/(1-L$6*(1+((1-phimax_pore)/phimax_pore^2)*($A34/100))*($A34/100))</f>
        <v>0.0973696000115624</v>
      </c>
      <c r="M34" s="9" t="n">
        <f aca="false">M$5*(1+A_pore*M$6*($A34/100))/(1-M$6*(1+((1-phimax_pore)/phimax_pore^2)*($A34/100))*($A34/100))</f>
        <v>0.100778667301982</v>
      </c>
      <c r="N34" s="9" t="n">
        <f aca="false">N$5*(1+A_pore*N$6*($A34/100))/(1-N$6*(1+((1-phimax_pore)/phimax_pore^2)*($A34/100))*($A34/100))</f>
        <v>0.104350696894724</v>
      </c>
      <c r="O34" s="9" t="n">
        <f aca="false">O$5*(1+A_pore*O$6*($A34/100))/(1-O$6*(1+((1-phimax_pore)/phimax_pore^2)*($A34/100))*($A34/100))</f>
        <v>0.10811044581191</v>
      </c>
      <c r="P34" s="9" t="n">
        <f aca="false">P$5*(1+A_pore*P$6*($A34/100))/(1-P$6*(1+((1-phimax_pore)/phimax_pore^2)*($A34/100))*($A34/100))</f>
        <v>0.112086442761614</v>
      </c>
      <c r="Q34" s="9" t="n">
        <f aca="false">Q$5*(1+A_pore*Q$6*($A34/100))/(1-Q$6*(1+((1-phimax_pore)/phimax_pore^2)*($A34/100))*($A34/100))</f>
        <v>0.116311877353441</v>
      </c>
      <c r="R34" s="9" t="n">
        <f aca="false">R$5*(1+A_pore*R$6*($A34/100))/(1-R$6*(1+((1-phimax_pore)/phimax_pore^2)*($A34/100))*($A34/100))</f>
        <v>0.12082573177554</v>
      </c>
      <c r="S34" s="9" t="n">
        <f aca="false">S$5*(1+A_pore*S$6*($A34/100))/(1-S$6*(1+((1-phimax_pore)/phimax_pore^2)*($A34/100))*($A34/100))</f>
        <v>0.125674238935616</v>
      </c>
      <c r="T34" s="9" t="n">
        <f aca="false">T$5*(1+A_pore*T$6*($A34/100))/(1-T$6*(1+((1-phimax_pore)/phimax_pore^2)*($A34/100))*($A34/100))</f>
        <v>0.130912785484462</v>
      </c>
      <c r="U34" s="9" t="n">
        <f aca="false">U$5*(1+A_pore*U$6*($A34/100))/(1-U$6*(1+((1-phimax_pore)/phimax_pore^2)*($A34/100))*($A34/100))</f>
        <v>0.136608429386916</v>
      </c>
      <c r="V34" s="9" t="n">
        <f aca="false">V$5*(1+A_pore*V$6*($A34/100))/(1-V$6*(1+((1-phimax_pore)/phimax_pore^2)*($A34/100))*($A34/100))</f>
        <v>0.142843279428765</v>
      </c>
      <c r="W34" s="9" t="n">
        <f aca="false">W$5*(1+A_pore*W$6*($A34/100))/(1-W$6*(1+((1-phimax_pore)/phimax_pore^2)*($A34/100))*($A34/100))</f>
        <v>0.149719104353052</v>
      </c>
      <c r="X34" s="9" t="n">
        <f aca="false">X$5*(1+A_pore*X$6*($A34/100))/(1-X$6*(1+((1-phimax_pore)/phimax_pore^2)*($A34/100))*($A34/100))</f>
        <v>0.157363729786785</v>
      </c>
      <c r="Y34" s="9" t="n">
        <f aca="false">Y$5*(1+A_pore*Y$6*($A34/100))/(1-Y$6*(1+((1-phimax_pore)/phimax_pore^2)*($A34/100))*($A34/100))</f>
        <v>0.165940090347787</v>
      </c>
      <c r="Z34" s="9" t="n">
        <f aca="false">Z$5*(1+A_pore*Z$6*($A34/100))/(1-Z$6*(1+((1-phimax_pore)/phimax_pore^2)*($A34/100))*($A34/100))</f>
        <v>0.175659320698039</v>
      </c>
      <c r="AA34" s="9" t="n">
        <f aca="false">AA$5*(1+A_pore*AA$6*($A34/100))/(1-AA$6*(1+((1-phimax_pore)/phimax_pore^2)*($A34/100))*($A34/100))</f>
        <v>0.18680015940138</v>
      </c>
      <c r="AB34" s="9" t="n">
        <f aca="false">AB$5*(1+A_pore*AB$6*($A34/100))/(1-AB$6*(1+((1-phimax_pore)/phimax_pore^2)*($A34/100))*($A34/100))</f>
        <v>0.1997385300335</v>
      </c>
      <c r="AC34" s="9" t="n">
        <f aca="false">AC$5*(1+A_pore*AC$6*($A34/100))/(1-AC$6*(1+((1-phimax_pore)/phimax_pore^2)*($A34/100))*($A34/100))</f>
        <v>0.21499412630583</v>
      </c>
      <c r="AD34" s="9" t="n">
        <f aca="false">AD$5*(1+A_pore*AD$6*($A34/100))/(1-AD$6*(1+((1-phimax_pore)/phimax_pore^2)*($A34/100))*($A34/100))</f>
        <v>0.233306615700743</v>
      </c>
      <c r="AE34" s="9" t="n">
        <f aca="false">AE$5*(1+A_pore*AE$6*($A34/100))/(1-AE$6*(1+((1-phimax_pore)/phimax_pore^2)*($A34/100))*($A34/100))</f>
        <v>0.255766038482798</v>
      </c>
      <c r="AF34" s="9" t="n">
        <f aca="false">AF$5*(1+A_pore*AF$6*($A34/100))/(1-AF$6*(1+((1-phimax_pore)/phimax_pore^2)*($A34/100))*($A34/100))</f>
        <v>0.284048419556295</v>
      </c>
      <c r="AG34" s="9" t="n">
        <f aca="false">AG$5*(1+A_pore*AG$6*($A34/100))/(1-AG$6*(1+((1-phimax_pore)/phimax_pore^2)*($A34/100))*($A34/100))</f>
        <v>0.320871024902999</v>
      </c>
      <c r="AH34" s="9" t="n">
        <f aca="false">AH$5*(1+A_pore*AH$6*($A34/100))/(1-AH$6*(1+((1-phimax_pore)/phimax_pore^2)*($A34/100))*($A34/100))</f>
        <v>0.370950097520382</v>
      </c>
      <c r="AI34" s="9" t="n">
        <f aca="false">AI$5*(1+A_pore*AI$6*($A34/100))/(1-AI$6*(1+((1-phimax_pore)/phimax_pore^2)*($A34/100))*($A34/100))</f>
        <v>0.443253970259954</v>
      </c>
      <c r="AJ34" s="9" t="n">
        <f aca="false">AJ$5*(1+A_pore*AJ$6*($A34/100))/(1-AJ$6*(1+((1-phimax_pore)/phimax_pore^2)*($A34/100))*($A34/100))</f>
        <v>0.557190502782742</v>
      </c>
      <c r="AK34" s="9" t="n">
        <f aca="false">AK$5*(1+A_pore*AK$6*($A34/100))/(1-AK$6*(1+((1-phimax_pore)/phimax_pore^2)*($A34/100))*($A34/100))</f>
        <v>0.764033990569709</v>
      </c>
    </row>
    <row r="35" customFormat="false" ht="15" hidden="false" customHeight="false" outlineLevel="0" collapsed="false">
      <c r="A35" s="4" t="n">
        <v>26</v>
      </c>
      <c r="B35" s="9" t="n">
        <f aca="false">B$5*(1+A_pore*B$6*($A35/100))/(1-B$6*(1+((1-phimax_pore)/phimax_pore^2)*($A35/100))*($A35/100))</f>
        <v>0.0671722342087461</v>
      </c>
      <c r="C35" s="9" t="n">
        <f aca="false">C$5*(1+A_pore*C$6*($A35/100))/(1-C$6*(1+((1-phimax_pore)/phimax_pore^2)*($A35/100))*($A35/100))</f>
        <v>0.0697500007078848</v>
      </c>
      <c r="D35" s="9" t="n">
        <f aca="false">D$5*(1+A_pore*D$6*($A35/100))/(1-D$6*(1+((1-phimax_pore)/phimax_pore^2)*($A35/100))*($A35/100))</f>
        <v>0.0723408833334876</v>
      </c>
      <c r="E35" s="9" t="n">
        <f aca="false">E$5*(1+A_pore*E$6*($A35/100))/(1-E$6*(1+((1-phimax_pore)/phimax_pore^2)*($A35/100))*($A35/100))</f>
        <v>0.0749557865732622</v>
      </c>
      <c r="F35" s="9" t="n">
        <f aca="false">F$5*(1+A_pore*F$6*($A35/100))/(1-F$6*(1+((1-phimax_pore)/phimax_pore^2)*($A35/100))*($A35/100))</f>
        <v>0.077605777560791</v>
      </c>
      <c r="G35" s="9" t="n">
        <f aca="false">G$5*(1+A_pore*G$6*($A35/100))/(1-G$6*(1+((1-phimax_pore)/phimax_pore^2)*($A35/100))*($A35/100))</f>
        <v>0.0803022712657817</v>
      </c>
      <c r="H35" s="9" t="n">
        <f aca="false">H$5*(1+A_pore*H$6*($A35/100))/(1-H$6*(1+((1-phimax_pore)/phimax_pore^2)*($A35/100))*($A35/100))</f>
        <v>0.0830572246263656</v>
      </c>
      <c r="I35" s="9" t="n">
        <f aca="false">I$5*(1+A_pore*I$6*($A35/100))/(1-I$6*(1+((1-phimax_pore)/phimax_pore^2)*($A35/100))*($A35/100))</f>
        <v>0.0858833466233659</v>
      </c>
      <c r="J35" s="9" t="n">
        <f aca="false">J$5*(1+A_pore*J$6*($A35/100))/(1-J$6*(1+((1-phimax_pore)/phimax_pore^2)*($A35/100))*($A35/100))</f>
        <v>0.0887943321660215</v>
      </c>
      <c r="K35" s="9" t="n">
        <f aca="false">K$5*(1+A_pore*K$6*($A35/100))/(1-K$6*(1+((1-phimax_pore)/phimax_pore^2)*($A35/100))*($A35/100))</f>
        <v>0.0918051290404429</v>
      </c>
      <c r="L35" s="9" t="n">
        <f aca="false">L$5*(1+A_pore*L$6*($A35/100))/(1-L$6*(1+((1-phimax_pore)/phimax_pore^2)*($A35/100))*($A35/100))</f>
        <v>0.0949322491937216</v>
      </c>
      <c r="M35" s="9" t="n">
        <f aca="false">M$5*(1+A_pore*M$6*($A35/100))/(1-M$6*(1+((1-phimax_pore)/phimax_pore^2)*($A35/100))*($A35/100))</f>
        <v>0.0981941384847068</v>
      </c>
      <c r="N35" s="9" t="n">
        <f aca="false">N$5*(1+A_pore*N$6*($A35/100))/(1-N$6*(1+((1-phimax_pore)/phimax_pore^2)*($A35/100))*($A35/100))</f>
        <v>0.101611623020508</v>
      </c>
      <c r="O35" s="9" t="n">
        <f aca="false">O$5*(1+A_pore*O$6*($A35/100))/(1-O$6*(1+((1-phimax_pore)/phimax_pore^2)*($A35/100))*($A35/100))</f>
        <v>0.105208455750495</v>
      </c>
      <c r="P35" s="9" t="n">
        <f aca="false">P$5*(1+A_pore*P$6*($A35/100))/(1-P$6*(1+((1-phimax_pore)/phimax_pore^2)*($A35/100))*($A35/100))</f>
        <v>0.10901199475265</v>
      </c>
      <c r="Q35" s="9" t="n">
        <f aca="false">Q$5*(1+A_pore*Q$6*($A35/100))/(1-Q$6*(1+((1-phimax_pore)/phimax_pore^2)*($A35/100))*($A35/100))</f>
        <v>0.113054055588303</v>
      </c>
      <c r="R35" s="9" t="n">
        <f aca="false">R$5*(1+A_pore*R$6*($A35/100))/(1-R$6*(1+((1-phimax_pore)/phimax_pore^2)*($A35/100))*($A35/100))</f>
        <v>0.117371995689013</v>
      </c>
      <c r="S35" s="9" t="n">
        <f aca="false">S$5*(1+A_pore*S$6*($A35/100))/(1-S$6*(1+((1-phimax_pore)/phimax_pore^2)*($A35/100))*($A35/100))</f>
        <v>0.122010111236001</v>
      </c>
      <c r="T35" s="9" t="n">
        <f aca="false">T$5*(1+A_pore*T$6*($A35/100))/(1-T$6*(1+((1-phimax_pore)/phimax_pore^2)*($A35/100))*($A35/100))</f>
        <v>0.127021459943358</v>
      </c>
      <c r="U35" s="9" t="n">
        <f aca="false">U$5*(1+A_pore*U$6*($A35/100))/(1-U$6*(1+((1-phimax_pore)/phimax_pore^2)*($A35/100))*($A35/100))</f>
        <v>0.132470272224048</v>
      </c>
      <c r="V35" s="9" t="n">
        <f aca="false">V$5*(1+A_pore*V$6*($A35/100))/(1-V$6*(1+((1-phimax_pore)/phimax_pore^2)*($A35/100))*($A35/100))</f>
        <v>0.138435187639594</v>
      </c>
      <c r="W35" s="9" t="n">
        <f aca="false">W$5*(1+A_pore*W$6*($A35/100))/(1-W$6*(1+((1-phimax_pore)/phimax_pore^2)*($A35/100))*($A35/100))</f>
        <v>0.145013668730679</v>
      </c>
      <c r="X35" s="9" t="n">
        <f aca="false">X$5*(1+A_pore*X$6*($A35/100))/(1-X$6*(1+((1-phimax_pore)/phimax_pore^2)*($A35/100))*($A35/100))</f>
        <v>0.152328126707247</v>
      </c>
      <c r="Y35" s="9" t="n">
        <f aca="false">Y$5*(1+A_pore*Y$6*($A35/100))/(1-Y$6*(1+((1-phimax_pore)/phimax_pore^2)*($A35/100))*($A35/100))</f>
        <v>0.160534589578781</v>
      </c>
      <c r="Z35" s="9" t="n">
        <f aca="false">Z$5*(1+A_pore*Z$6*($A35/100))/(1-Z$6*(1+((1-phimax_pore)/phimax_pore^2)*($A35/100))*($A35/100))</f>
        <v>0.169835237763235</v>
      </c>
      <c r="AA35" s="9" t="n">
        <f aca="false">AA$5*(1+A_pore*AA$6*($A35/100))/(1-AA$6*(1+((1-phimax_pore)/phimax_pore^2)*($A35/100))*($A35/100))</f>
        <v>0.18049698452384</v>
      </c>
      <c r="AB35" s="9" t="n">
        <f aca="false">AB$5*(1+A_pore*AB$6*($A35/100))/(1-AB$6*(1+((1-phimax_pore)/phimax_pore^2)*($A35/100))*($A35/100))</f>
        <v>0.192879801659768</v>
      </c>
      <c r="AC35" s="9" t="n">
        <f aca="false">AC$5*(1+A_pore*AC$6*($A35/100))/(1-AC$6*(1+((1-phimax_pore)/phimax_pore^2)*($A35/100))*($A35/100))</f>
        <v>0.207481327454587</v>
      </c>
      <c r="AD35" s="9" t="n">
        <f aca="false">AD$5*(1+A_pore*AD$6*($A35/100))/(1-AD$6*(1+((1-phimax_pore)/phimax_pore^2)*($A35/100))*($A35/100))</f>
        <v>0.225009835961839</v>
      </c>
      <c r="AE35" s="9" t="n">
        <f aca="false">AE$5*(1+A_pore*AE$6*($A35/100))/(1-AE$6*(1+((1-phimax_pore)/phimax_pore^2)*($A35/100))*($A35/100))</f>
        <v>0.246509101332576</v>
      </c>
      <c r="AF35" s="9" t="n">
        <f aca="false">AF$5*(1+A_pore*AF$6*($A35/100))/(1-AF$6*(1+((1-phimax_pore)/phimax_pore^2)*($A35/100))*($A35/100))</f>
        <v>0.273584009226182</v>
      </c>
      <c r="AG35" s="9" t="n">
        <f aca="false">AG$5*(1+A_pore*AG$6*($A35/100))/(1-AG$6*(1+((1-phimax_pore)/phimax_pore^2)*($A35/100))*($A35/100))</f>
        <v>0.308836489997633</v>
      </c>
      <c r="AH35" s="9" t="n">
        <f aca="false">AH$5*(1+A_pore*AH$6*($A35/100))/(1-AH$6*(1+((1-phimax_pore)/phimax_pore^2)*($A35/100))*($A35/100))</f>
        <v>0.356782603685746</v>
      </c>
      <c r="AI35" s="9" t="n">
        <f aca="false">AI$5*(1+A_pore*AI$6*($A35/100))/(1-AI$6*(1+((1-phimax_pore)/phimax_pore^2)*($A35/100))*($A35/100))</f>
        <v>0.426010019759943</v>
      </c>
      <c r="AJ35" s="9" t="n">
        <f aca="false">AJ$5*(1+A_pore*AJ$6*($A35/100))/(1-AJ$6*(1+((1-phimax_pore)/phimax_pore^2)*($A35/100))*($A35/100))</f>
        <v>0.535102829018273</v>
      </c>
      <c r="AK35" s="9" t="n">
        <f aca="false">AK$5*(1+A_pore*AK$6*($A35/100))/(1-AK$6*(1+((1-phimax_pore)/phimax_pore^2)*($A35/100))*($A35/100))</f>
        <v>0.733158989810717</v>
      </c>
    </row>
    <row r="36" customFormat="false" ht="15" hidden="false" customHeight="false" outlineLevel="0" collapsed="false">
      <c r="A36" s="4" t="n">
        <v>27</v>
      </c>
      <c r="B36" s="9" t="n">
        <f aca="false">B$5*(1+A_pore*B$6*($A36/100))/(1-B$6*(1+((1-phimax_pore)/phimax_pore^2)*($A36/100))*($A36/100))</f>
        <v>0.0659845610691156</v>
      </c>
      <c r="C36" s="9" t="n">
        <f aca="false">C$5*(1+A_pore*C$6*($A36/100))/(1-C$6*(1+((1-phimax_pore)/phimax_pore^2)*($A36/100))*($A36/100))</f>
        <v>0.06846049404795</v>
      </c>
      <c r="D36" s="9" t="n">
        <f aca="false">D$5*(1+A_pore*D$6*($A36/100))/(1-D$6*(1+((1-phimax_pore)/phimax_pore^2)*($A36/100))*($A36/100))</f>
        <v>0.0709474863403078</v>
      </c>
      <c r="E36" s="9" t="n">
        <f aca="false">E$5*(1+A_pore*E$6*($A36/100))/(1-E$6*(1+((1-phimax_pore)/phimax_pore^2)*($A36/100))*($A36/100))</f>
        <v>0.0734561972087075</v>
      </c>
      <c r="F36" s="9" t="n">
        <f aca="false">F$5*(1+A_pore*F$6*($A36/100))/(1-F$6*(1+((1-phimax_pore)/phimax_pore^2)*($A36/100))*($A36/100))</f>
        <v>0.0759974084251072</v>
      </c>
      <c r="G36" s="9" t="n">
        <f aca="false">G$5*(1+A_pore*G$6*($A36/100))/(1-G$6*(1+((1-phimax_pore)/phimax_pore^2)*($A36/100))*($A36/100))</f>
        <v>0.07858220754172</v>
      </c>
      <c r="H36" s="9" t="n">
        <f aca="false">H$5*(1+A_pore*H$6*($A36/100))/(1-H$6*(1+((1-phimax_pore)/phimax_pore^2)*($A36/100))*($A36/100))</f>
        <v>0.0812221785990224</v>
      </c>
      <c r="I36" s="9" t="n">
        <f aca="false">I$5*(1+A_pore*I$6*($A36/100))/(1-I$6*(1+((1-phimax_pore)/phimax_pore^2)*($A36/100))*($A36/100))</f>
        <v>0.0839296072196129</v>
      </c>
      <c r="J36" s="9" t="n">
        <f aca="false">J$5*(1+A_pore*J$6*($A36/100))/(1-J$6*(1+((1-phimax_pore)/phimax_pore^2)*($A36/100))*($A36/100))</f>
        <v>0.0867177078138189</v>
      </c>
      <c r="K36" s="9" t="n">
        <f aca="false">K$5*(1+A_pore*K$6*($A36/100))/(1-K$6*(1+((1-phimax_pore)/phimax_pore^2)*($A36/100))*($A36/100))</f>
        <v>0.0896008819050081</v>
      </c>
      <c r="L36" s="9" t="n">
        <f aca="false">L$5*(1+A_pore*L$6*($A36/100))/(1-L$6*(1+((1-phimax_pore)/phimax_pore^2)*($A36/100))*($A36/100))</f>
        <v>0.0925950184879879</v>
      </c>
      <c r="M36" s="9" t="n">
        <f aca="false">M$5*(1+A_pore*M$6*($A36/100))/(1-M$6*(1+((1-phimax_pore)/phimax_pore^2)*($A36/100))*($A36/100))</f>
        <v>0.0957178500483718</v>
      </c>
      <c r="N36" s="9" t="n">
        <f aca="false">N$5*(1+A_pore*N$6*($A36/100))/(1-N$6*(1+((1-phimax_pore)/phimax_pore^2)*($A36/100))*($A36/100))</f>
        <v>0.0989893816736551</v>
      </c>
      <c r="O36" s="9" t="n">
        <f aca="false">O$5*(1+A_pore*O$6*($A36/100))/(1-O$6*(1+((1-phimax_pore)/phimax_pore^2)*($A36/100))*($A36/100))</f>
        <v>0.102432415993113</v>
      </c>
      <c r="P36" s="9" t="n">
        <f aca="false">P$5*(1+A_pore*P$6*($A36/100))/(1-P$6*(1+((1-phimax_pore)/phimax_pore^2)*($A36/100))*($A36/100))</f>
        <v>0.106073204111206</v>
      </c>
      <c r="Q36" s="9" t="n">
        <f aca="false">Q$5*(1+A_pore*Q$6*($A36/100))/(1-Q$6*(1+((1-phimax_pore)/phimax_pore^2)*($A36/100))*($A36/100))</f>
        <v>0.109942263174424</v>
      </c>
      <c r="R36" s="9" t="n">
        <f aca="false">R$5*(1+A_pore*R$6*($A36/100))/(1-R$6*(1+((1-phimax_pore)/phimax_pore^2)*($A36/100))*($A36/100))</f>
        <v>0.114075416141045</v>
      </c>
      <c r="S36" s="9" t="n">
        <f aca="false">S$5*(1+A_pore*S$6*($A36/100))/(1-S$6*(1+((1-phimax_pore)/phimax_pore^2)*($A36/100))*($A36/100))</f>
        <v>0.118515130874341</v>
      </c>
      <c r="T36" s="9" t="n">
        <f aca="false">T$5*(1+A_pore*T$6*($A36/100))/(1-T$6*(1+((1-phimax_pore)/phimax_pore^2)*($A36/100))*($A36/100))</f>
        <v>0.12331226724929</v>
      </c>
      <c r="U36" s="9" t="n">
        <f aca="false">U$5*(1+A_pore*U$6*($A36/100))/(1-U$6*(1+((1-phimax_pore)/phimax_pore^2)*($A36/100))*($A36/100))</f>
        <v>0.128528387976666</v>
      </c>
      <c r="V36" s="9" t="n">
        <f aca="false">V$5*(1+A_pore*V$6*($A36/100))/(1-V$6*(1+((1-phimax_pore)/phimax_pore^2)*($A36/100))*($A36/100))</f>
        <v>0.134238860157303</v>
      </c>
      <c r="W36" s="9" t="n">
        <f aca="false">W$5*(1+A_pore*W$6*($A36/100))/(1-W$6*(1+((1-phimax_pore)/phimax_pore^2)*($A36/100))*($A36/100))</f>
        <v>0.140537084959321</v>
      </c>
      <c r="X36" s="9" t="n">
        <f aca="false">X$5*(1+A_pore*X$6*($A36/100))/(1-X$6*(1+((1-phimax_pore)/phimax_pore^2)*($A36/100))*($A36/100))</f>
        <v>0.147540367568737</v>
      </c>
      <c r="Y36" s="9" t="n">
        <f aca="false">Y$5*(1+A_pore*Y$6*($A36/100))/(1-Y$6*(1+((1-phimax_pore)/phimax_pore^2)*($A36/100))*($A36/100))</f>
        <v>0.155398223290081</v>
      </c>
      <c r="Z36" s="9" t="n">
        <f aca="false">Z$5*(1+A_pore*Z$6*($A36/100))/(1-Z$6*(1+((1-phimax_pore)/phimax_pore^2)*($A36/100))*($A36/100))</f>
        <v>0.1643043894663</v>
      </c>
      <c r="AA36" s="9" t="n">
        <f aca="false">AA$5*(1+A_pore*AA$6*($A36/100))/(1-AA$6*(1+((1-phimax_pore)/phimax_pore^2)*($A36/100))*($A36/100))</f>
        <v>0.174514629577957</v>
      </c>
      <c r="AB36" s="9" t="n">
        <f aca="false">AB$5*(1+A_pore*AB$6*($A36/100))/(1-AB$6*(1+((1-phimax_pore)/phimax_pore^2)*($A36/100))*($A36/100))</f>
        <v>0.18637387530653</v>
      </c>
      <c r="AC36" s="9" t="n">
        <f aca="false">AC$5*(1+A_pore*AC$6*($A36/100))/(1-AC$6*(1+((1-phimax_pore)/phimax_pore^2)*($A36/100))*($A36/100))</f>
        <v>0.20035897038006</v>
      </c>
      <c r="AD36" s="9" t="n">
        <f aca="false">AD$5*(1+A_pore*AD$6*($A36/100))/(1-AD$6*(1+((1-phimax_pore)/phimax_pore^2)*($A36/100))*($A36/100))</f>
        <v>0.217148590484432</v>
      </c>
      <c r="AE36" s="9" t="n">
        <f aca="false">AE$5*(1+A_pore*AE$6*($A36/100))/(1-AE$6*(1+((1-phimax_pore)/phimax_pore^2)*($A36/100))*($A36/100))</f>
        <v>0.237742889446526</v>
      </c>
      <c r="AF36" s="9" t="n">
        <f aca="false">AF$5*(1+A_pore*AF$6*($A36/100))/(1-AF$6*(1+((1-phimax_pore)/phimax_pore^2)*($A36/100))*($A36/100))</f>
        <v>0.263679682148862</v>
      </c>
      <c r="AG36" s="9" t="n">
        <f aca="false">AG$5*(1+A_pore*AG$6*($A36/100))/(1-AG$6*(1+((1-phimax_pore)/phimax_pore^2)*($A36/100))*($A36/100))</f>
        <v>0.297452159616638</v>
      </c>
      <c r="AH36" s="9" t="n">
        <f aca="false">AH$5*(1+A_pore*AH$6*($A36/100))/(1-AH$6*(1+((1-phimax_pore)/phimax_pore^2)*($A36/100))*($A36/100))</f>
        <v>0.343387648001354</v>
      </c>
      <c r="AI36" s="9" t="n">
        <f aca="false">AI$5*(1+A_pore*AI$6*($A36/100))/(1-AI$6*(1+((1-phimax_pore)/phimax_pore^2)*($A36/100))*($A36/100))</f>
        <v>0.409714924773585</v>
      </c>
      <c r="AJ36" s="9" t="n">
        <f aca="false">AJ$5*(1+A_pore*AJ$6*($A36/100))/(1-AJ$6*(1+((1-phimax_pore)/phimax_pore^2)*($A36/100))*($A36/100))</f>
        <v>0.514241425866477</v>
      </c>
      <c r="AK36" s="9" t="n">
        <f aca="false">AK$5*(1+A_pore*AK$6*($A36/100))/(1-AK$6*(1+((1-phimax_pore)/phimax_pore^2)*($A36/100))*($A36/100))</f>
        <v>0.704013243978927</v>
      </c>
    </row>
    <row r="37" customFormat="false" ht="15" hidden="false" customHeight="false" outlineLevel="0" collapsed="false">
      <c r="A37" s="4" t="n">
        <v>28</v>
      </c>
      <c r="B37" s="9" t="n">
        <f aca="false">B$5*(1+A_pore*B$6*($A37/100))/(1-B$6*(1+((1-phimax_pore)/phimax_pore^2)*($A37/100))*($A37/100))</f>
        <v>0.0648328983121677</v>
      </c>
      <c r="C37" s="9" t="n">
        <f aca="false">C$5*(1+A_pore*C$6*($A37/100))/(1-C$6*(1+((1-phimax_pore)/phimax_pore^2)*($A37/100))*($A37/100))</f>
        <v>0.067211681006789</v>
      </c>
      <c r="D37" s="9" t="n">
        <f aca="false">D$5*(1+A_pore*D$6*($A37/100))/(1-D$6*(1+((1-phimax_pore)/phimax_pore^2)*($A37/100))*($A37/100))</f>
        <v>0.0695996905750972</v>
      </c>
      <c r="E37" s="9" t="n">
        <f aca="false">E$5*(1+A_pore*E$6*($A37/100))/(1-E$6*(1+((1-phimax_pore)/phimax_pore^2)*($A37/100))*($A37/100))</f>
        <v>0.0720073447899423</v>
      </c>
      <c r="F37" s="9" t="n">
        <f aca="false">F$5*(1+A_pore*F$6*($A37/100))/(1-F$6*(1+((1-phimax_pore)/phimax_pore^2)*($A37/100))*($A37/100))</f>
        <v>0.0744451469514948</v>
      </c>
      <c r="G37" s="9" t="n">
        <f aca="false">G$5*(1+A_pore*G$6*($A37/100))/(1-G$6*(1+((1-phimax_pore)/phimax_pore^2)*($A37/100))*($A37/100))</f>
        <v>0.0769238672887917</v>
      </c>
      <c r="H37" s="9" t="n">
        <f aca="false">H$5*(1+A_pore*H$6*($A37/100))/(1-H$6*(1+((1-phimax_pore)/phimax_pore^2)*($A37/100))*($A37/100))</f>
        <v>0.0794547303694306</v>
      </c>
      <c r="I37" s="9" t="n">
        <f aca="false">I$5*(1+A_pore*I$6*($A37/100))/(1-I$6*(1+((1-phimax_pore)/phimax_pore^2)*($A37/100))*($A37/100))</f>
        <v>0.0820496154232353</v>
      </c>
      <c r="J37" s="9" t="n">
        <f aca="false">J$5*(1+A_pore*J$6*($A37/100))/(1-J$6*(1+((1-phimax_pore)/phimax_pore^2)*($A37/100))*($A37/100))</f>
        <v>0.0847212771735984</v>
      </c>
      <c r="K37" s="9" t="n">
        <f aca="false">K$5*(1+A_pore*K$6*($A37/100))/(1-K$6*(1+((1-phimax_pore)/phimax_pore^2)*($A37/100))*($A37/100))</f>
        <v>0.0874835959566563</v>
      </c>
      <c r="L37" s="9" t="n">
        <f aca="false">L$5*(1+A_pore*L$6*($A37/100))/(1-L$6*(1+((1-phimax_pore)/phimax_pore^2)*($A37/100))*($A37/100))</f>
        <v>0.090351867703217</v>
      </c>
      <c r="M37" s="9" t="n">
        <f aca="false">M$5*(1+A_pore*M$6*($A37/100))/(1-M$6*(1+((1-phimax_pore)/phimax_pore^2)*($A37/100))*($A37/100))</f>
        <v>0.0933431469366496</v>
      </c>
      <c r="N37" s="9" t="n">
        <f aca="false">N$5*(1+A_pore*N$6*($A37/100))/(1-N$6*(1+((1-phimax_pore)/phimax_pore^2)*($A37/100))*($A37/100))</f>
        <v>0.096476659567563</v>
      </c>
      <c r="O37" s="9" t="n">
        <f aca="false">O$5*(1+A_pore*O$6*($A37/100))/(1-O$6*(1+((1-phimax_pore)/phimax_pore^2)*($A37/100))*($A37/100))</f>
        <v>0.0997743073396</v>
      </c>
      <c r="P37" s="9" t="n">
        <f aca="false">P$5*(1+A_pore*P$6*($A37/100))/(1-P$6*(1+((1-phimax_pore)/phimax_pore^2)*($A37/100))*($A37/100))</f>
        <v>0.103261292891253</v>
      </c>
      <c r="Q37" s="9" t="n">
        <f aca="false">Q$5*(1+A_pore*Q$6*($A37/100))/(1-Q$6*(1+((1-phimax_pore)/phimax_pore^2)*($A37/100))*($A37/100))</f>
        <v>0.106966904433795</v>
      </c>
      <c r="R37" s="9" t="n">
        <f aca="false">R$5*(1+A_pore*R$6*($A37/100))/(1-R$6*(1+((1-phimax_pore)/phimax_pore^2)*($A37/100))*($A37/100))</f>
        <v>0.110925513353281</v>
      </c>
      <c r="S37" s="9" t="n">
        <f aca="false">S$5*(1+A_pore*S$6*($A37/100))/(1-S$6*(1+((1-phimax_pore)/phimax_pore^2)*($A37/100))*($A37/100))</f>
        <v>0.115177858702704</v>
      </c>
      <c r="T37" s="9" t="n">
        <f aca="false">T$5*(1+A_pore*T$6*($A37/100))/(1-T$6*(1+((1-phimax_pore)/phimax_pore^2)*($A37/100))*($A37/100))</f>
        <v>0.119772722815396</v>
      </c>
      <c r="U37" s="9" t="n">
        <f aca="false">U$5*(1+A_pore*U$6*($A37/100))/(1-U$6*(1+((1-phimax_pore)/phimax_pore^2)*($A37/100))*($A37/100))</f>
        <v>0.124769147344823</v>
      </c>
      <c r="V37" s="9" t="n">
        <f aca="false">V$5*(1+A_pore*V$6*($A37/100))/(1-V$6*(1+((1-phimax_pore)/phimax_pore^2)*($A37/100))*($A37/100))</f>
        <v>0.130239407405073</v>
      </c>
      <c r="W37" s="9" t="n">
        <f aca="false">W$5*(1+A_pore*W$6*($A37/100))/(1-W$6*(1+((1-phimax_pore)/phimax_pore^2)*($A37/100))*($A37/100))</f>
        <v>0.136273067317795</v>
      </c>
      <c r="X37" s="9" t="n">
        <f aca="false">X$5*(1+A_pore*X$6*($A37/100))/(1-X$6*(1+((1-phimax_pore)/phimax_pore^2)*($A37/100))*($A37/100))</f>
        <v>0.142982609029241</v>
      </c>
      <c r="Y37" s="9" t="n">
        <f aca="false">Y$5*(1+A_pore*Y$6*($A37/100))/(1-Y$6*(1+((1-phimax_pore)/phimax_pore^2)*($A37/100))*($A37/100))</f>
        <v>0.150511396299603</v>
      </c>
      <c r="Z37" s="9" t="n">
        <f aca="false">Z$5*(1+A_pore*Z$6*($A37/100))/(1-Z$6*(1+((1-phimax_pore)/phimax_pore^2)*($A37/100))*($A37/100))</f>
        <v>0.159045192043507</v>
      </c>
      <c r="AA37" s="9" t="n">
        <f aca="false">AA$5*(1+A_pore*AA$6*($A37/100))/(1-AA$6*(1+((1-phimax_pore)/phimax_pore^2)*($A37/100))*($A37/100))</f>
        <v>0.168829229252044</v>
      </c>
      <c r="AB37" s="9" t="n">
        <f aca="false">AB$5*(1+A_pore*AB$6*($A37/100))/(1-AB$6*(1+((1-phimax_pore)/phimax_pore^2)*($A37/100))*($A37/100))</f>
        <v>0.180194235239131</v>
      </c>
      <c r="AC37" s="9" t="n">
        <f aca="false">AC$5*(1+A_pore*AC$6*($A37/100))/(1-AC$6*(1+((1-phimax_pore)/phimax_pore^2)*($A37/100))*($A37/100))</f>
        <v>0.193597415035959</v>
      </c>
      <c r="AD37" s="9" t="n">
        <f aca="false">AD$5*(1+A_pore*AD$6*($A37/100))/(1-AD$6*(1+((1-phimax_pore)/phimax_pore^2)*($A37/100))*($A37/100))</f>
        <v>0.209689491491446</v>
      </c>
      <c r="AE37" s="9" t="n">
        <f aca="false">AE$5*(1+A_pore*AE$6*($A37/100))/(1-AE$6*(1+((1-phimax_pore)/phimax_pore^2)*($A37/100))*($A37/100))</f>
        <v>0.229429423476726</v>
      </c>
      <c r="AF37" s="9" t="n">
        <f aca="false">AF$5*(1+A_pore*AF$6*($A37/100))/(1-AF$6*(1+((1-phimax_pore)/phimax_pore^2)*($A37/100))*($A37/100))</f>
        <v>0.254291684600044</v>
      </c>
      <c r="AG37" s="9" t="n">
        <f aca="false">AG$5*(1+A_pore*AG$6*($A37/100))/(1-AG$6*(1+((1-phimax_pore)/phimax_pore^2)*($A37/100))*($A37/100))</f>
        <v>0.286666773264232</v>
      </c>
      <c r="AH37" s="9" t="n">
        <f aca="false">AH$5*(1+A_pore*AH$6*($A37/100))/(1-AH$6*(1+((1-phimax_pore)/phimax_pore^2)*($A37/100))*($A37/100))</f>
        <v>0.330703776879946</v>
      </c>
      <c r="AI37" s="9" t="n">
        <f aca="false">AI$5*(1+A_pore*AI$6*($A37/100))/(1-AI$6*(1+((1-phimax_pore)/phimax_pore^2)*($A37/100))*($A37/100))</f>
        <v>0.394292538328086</v>
      </c>
      <c r="AJ37" s="9" t="n">
        <f aca="false">AJ$5*(1+A_pore*AJ$6*($A37/100))/(1-AJ$6*(1+((1-phimax_pore)/phimax_pore^2)*($A37/100))*($A37/100))</f>
        <v>0.494507027182169</v>
      </c>
      <c r="AK37" s="9" t="n">
        <f aca="false">AK$5*(1+A_pore*AK$6*($A37/100))/(1-AK$6*(1+((1-phimax_pore)/phimax_pore^2)*($A37/100))*($A37/100))</f>
        <v>0.676455571156752</v>
      </c>
    </row>
    <row r="38" customFormat="false" ht="15" hidden="false" customHeight="false" outlineLevel="0" collapsed="false">
      <c r="A38" s="4" t="n">
        <v>29</v>
      </c>
      <c r="B38" s="9" t="n">
        <f aca="false">B$5*(1+A_pore*B$6*($A38/100))/(1-B$6*(1+((1-phimax_pore)/phimax_pore^2)*($A38/100))*($A38/100))</f>
        <v>0.0637156340003119</v>
      </c>
      <c r="C38" s="9" t="n">
        <f aca="false">C$5*(1+A_pore*C$6*($A38/100))/(1-C$6*(1+((1-phimax_pore)/phimax_pore^2)*($A38/100))*($A38/100))</f>
        <v>0.0660016668007514</v>
      </c>
      <c r="D38" s="9" t="n">
        <f aca="false">D$5*(1+A_pore*D$6*($A38/100))/(1-D$6*(1+((1-phimax_pore)/phimax_pore^2)*($A38/100))*($A38/100))</f>
        <v>0.0682952953260346</v>
      </c>
      <c r="E38" s="9" t="n">
        <f aca="false">E$5*(1+A_pore*E$6*($A38/100))/(1-E$6*(1+((1-phimax_pore)/phimax_pore^2)*($A38/100))*($A38/100))</f>
        <v>0.0706066992736522</v>
      </c>
      <c r="F38" s="9" t="n">
        <f aca="false">F$5*(1+A_pore*F$6*($A38/100))/(1-F$6*(1+((1-phimax_pore)/phimax_pore^2)*($A38/100))*($A38/100))</f>
        <v>0.0729461098504003</v>
      </c>
      <c r="G38" s="9" t="n">
        <f aca="false">G$5*(1+A_pore*G$6*($A38/100))/(1-G$6*(1+((1-phimax_pore)/phimax_pore^2)*($A38/100))*($A38/100))</f>
        <v>0.0753239893320184</v>
      </c>
      <c r="H38" s="9" t="n">
        <f aca="false">H$5*(1+A_pore*H$6*($A38/100))/(1-H$6*(1+((1-phimax_pore)/phimax_pore^2)*($A38/100))*($A38/100))</f>
        <v>0.077751215275974</v>
      </c>
      <c r="I38" s="9" t="n">
        <f aca="false">I$5*(1+A_pore*I$6*($A38/100))/(1-I$6*(1+((1-phimax_pore)/phimax_pore^2)*($A38/100))*($A38/100))</f>
        <v>0.0802392762571577</v>
      </c>
      <c r="J38" s="9" t="n">
        <f aca="false">J$5*(1+A_pore*J$6*($A38/100))/(1-J$6*(1+((1-phimax_pore)/phimax_pore^2)*($A38/100))*($A38/100))</f>
        <v>0.0828004865976992</v>
      </c>
      <c r="K38" s="9" t="n">
        <f aca="false">K$5*(1+A_pore*K$6*($A38/100))/(1-K$6*(1+((1-phimax_pore)/phimax_pore^2)*($A38/100))*($A38/100))</f>
        <v>0.0854482286569324</v>
      </c>
      <c r="L38" s="9" t="n">
        <f aca="false">L$5*(1+A_pore*L$6*($A38/100))/(1-L$6*(1+((1-phimax_pore)/phimax_pore^2)*($A38/100))*($A38/100))</f>
        <v>0.0881972329368565</v>
      </c>
      <c r="M38" s="9" t="n">
        <f aca="false">M$5*(1+A_pore*M$6*($A38/100))/(1-M$6*(1+((1-phimax_pore)/phimax_pore^2)*($A38/100))*($A38/100))</f>
        <v>0.0910639087074384</v>
      </c>
      <c r="N38" s="9" t="n">
        <f aca="false">N$5*(1+A_pore*N$6*($A38/100))/(1-N$6*(1+((1-phimax_pore)/phimax_pore^2)*($A38/100))*($A38/100))</f>
        <v>0.0940667413176682</v>
      </c>
      <c r="O38" s="9" t="n">
        <f aca="false">O$5*(1+A_pore*O$6*($A38/100))/(1-O$6*(1+((1-phimax_pore)/phimax_pore^2)*($A38/100))*($A38/100))</f>
        <v>0.0972267772113607</v>
      </c>
      <c r="P38" s="9" t="n">
        <f aca="false">P$5*(1+A_pore*P$6*($A38/100))/(1-P$6*(1+((1-phimax_pore)/phimax_pore^2)*($A38/100))*($A38/100))</f>
        <v>0.100568224477351</v>
      </c>
      <c r="Q38" s="9" t="n">
        <f aca="false">Q$5*(1+A_pore*Q$6*($A38/100))/(1-Q$6*(1+((1-phimax_pore)/phimax_pore^2)*($A38/100))*($A38/100))</f>
        <v>0.104119206382638</v>
      </c>
      <c r="R38" s="9" t="n">
        <f aca="false">R$5*(1+A_pore*R$6*($A38/100))/(1-R$6*(1+((1-phimax_pore)/phimax_pore^2)*($A38/100))*($A38/100))</f>
        <v>0.10791271905687</v>
      </c>
      <c r="S38" s="9" t="n">
        <f aca="false">S$5*(1+A_pore*S$6*($A38/100))/(1-S$6*(1+((1-phimax_pore)/phimax_pore^2)*($A38/100))*($A38/100))</f>
        <v>0.111987864310055</v>
      </c>
      <c r="T38" s="9" t="n">
        <f aca="false">T$5*(1+A_pore*T$6*($A38/100))/(1-T$6*(1+((1-phimax_pore)/phimax_pore^2)*($A38/100))*($A38/100))</f>
        <v>0.11639145759654</v>
      </c>
      <c r="U38" s="9" t="n">
        <f aca="false">U$5*(1+A_pore*U$6*($A38/100))/(1-U$6*(1+((1-phimax_pore)/phimax_pore^2)*($A38/100))*($A38/100))</f>
        <v>0.121180154377539</v>
      </c>
      <c r="V38" s="9" t="n">
        <f aca="false">V$5*(1+A_pore*V$6*($A38/100))/(1-V$6*(1+((1-phimax_pore)/phimax_pore^2)*($A38/100))*($A38/100))</f>
        <v>0.126423303723007</v>
      </c>
      <c r="W38" s="9" t="n">
        <f aca="false">W$5*(1+A_pore*W$6*($A38/100))/(1-W$6*(1+((1-phimax_pore)/phimax_pore^2)*($A38/100))*($A38/100))</f>
        <v>0.132206839522713</v>
      </c>
      <c r="X38" s="9" t="n">
        <f aca="false">X$5*(1+A_pore*X$6*($A38/100))/(1-X$6*(1+((1-phimax_pore)/phimax_pore^2)*($A38/100))*($A38/100))</f>
        <v>0.138638680424127</v>
      </c>
      <c r="Y38" s="9" t="n">
        <f aca="false">Y$5*(1+A_pore*Y$6*($A38/100))/(1-Y$6*(1+((1-phimax_pore)/phimax_pore^2)*($A38/100))*($A38/100))</f>
        <v>0.145856370598061</v>
      </c>
      <c r="Z38" s="9" t="n">
        <f aca="false">Z$5*(1+A_pore*Z$6*($A38/100))/(1-Z$6*(1+((1-phimax_pore)/phimax_pore^2)*($A38/100))*($A38/100))</f>
        <v>0.154038129249695</v>
      </c>
      <c r="AA38" s="9" t="n">
        <f aca="false">AA$5*(1+A_pore*AA$6*($A38/100))/(1-AA$6*(1+((1-phimax_pore)/phimax_pore^2)*($A38/100))*($A38/100))</f>
        <v>0.163419228025117</v>
      </c>
      <c r="AB38" s="9" t="n">
        <f aca="false">AB$5*(1+A_pore*AB$6*($A38/100))/(1-AB$6*(1+((1-phimax_pore)/phimax_pore^2)*($A38/100))*($A38/100))</f>
        <v>0.174316957916245</v>
      </c>
      <c r="AC38" s="9" t="n">
        <f aca="false">AC$5*(1+A_pore*AC$6*($A38/100))/(1-AC$6*(1+((1-phimax_pore)/phimax_pore^2)*($A38/100))*($A38/100))</f>
        <v>0.187169947453056</v>
      </c>
      <c r="AD38" s="9" t="n">
        <f aca="false">AD$5*(1+A_pore*AD$6*($A38/100))/(1-AD$6*(1+((1-phimax_pore)/phimax_pore^2)*($A38/100))*($A38/100))</f>
        <v>0.202602478810735</v>
      </c>
      <c r="AE38" s="9" t="n">
        <f aca="false">AE$5*(1+A_pore*AE$6*($A38/100))/(1-AE$6*(1+((1-phimax_pore)/phimax_pore^2)*($A38/100))*($A38/100))</f>
        <v>0.221534544678378</v>
      </c>
      <c r="AF38" s="9" t="n">
        <f aca="false">AF$5*(1+A_pore*AF$6*($A38/100))/(1-AF$6*(1+((1-phimax_pore)/phimax_pore^2)*($A38/100))*($A38/100))</f>
        <v>0.245380704567394</v>
      </c>
      <c r="AG38" s="9" t="n">
        <f aca="false">AG$5*(1+A_pore*AG$6*($A38/100))/(1-AG$6*(1+((1-phimax_pore)/phimax_pore^2)*($A38/100))*($A38/100))</f>
        <v>0.276434320783351</v>
      </c>
      <c r="AH38" s="9" t="n">
        <f aca="false">AH$5*(1+A_pore*AH$6*($A38/100))/(1-AH$6*(1+((1-phimax_pore)/phimax_pore^2)*($A38/100))*($A38/100))</f>
        <v>0.318675886330054</v>
      </c>
      <c r="AI38" s="9" t="n">
        <f aca="false">AI$5*(1+A_pore*AI$6*($A38/100))/(1-AI$6*(1+((1-phimax_pore)/phimax_pore^2)*($A38/100))*($A38/100))</f>
        <v>0.379674649009053</v>
      </c>
      <c r="AJ38" s="9" t="n">
        <f aca="false">AJ$5*(1+A_pore*AJ$6*($A38/100))/(1-AJ$6*(1+((1-phimax_pore)/phimax_pore^2)*($A38/100))*($A38/100))</f>
        <v>0.475810799354918</v>
      </c>
      <c r="AK38" s="9" t="n">
        <f aca="false">AK$5*(1+A_pore*AK$6*($A38/100))/(1-AK$6*(1+((1-phimax_pore)/phimax_pore^2)*($A38/100))*($A38/100))</f>
        <v>0.650359750929058</v>
      </c>
    </row>
    <row r="39" customFormat="false" ht="15" hidden="false" customHeight="false" outlineLevel="0" collapsed="false">
      <c r="A39" s="4" t="n">
        <v>30</v>
      </c>
      <c r="B39" s="9" t="n">
        <f aca="false">B$5*(1+A_pore*B$6*($A39/100))/(1-B$6*(1+((1-phimax_pore)/phimax_pore^2)*($A39/100))*($A39/100))</f>
        <v>0.0626312509881821</v>
      </c>
      <c r="C39" s="9" t="n">
        <f aca="false">C$5*(1+A_pore*C$6*($A39/100))/(1-C$6*(1+((1-phimax_pore)/phimax_pore^2)*($A39/100))*($A39/100))</f>
        <v>0.0648286724813861</v>
      </c>
      <c r="D39" s="9" t="n">
        <f aca="false">D$5*(1+A_pore*D$6*($A39/100))/(1-D$6*(1+((1-phimax_pore)/phimax_pore^2)*($A39/100))*($A39/100))</f>
        <v>0.0670322392468954</v>
      </c>
      <c r="E39" s="9" t="n">
        <f aca="false">E$5*(1+A_pore*E$6*($A39/100))/(1-E$6*(1+((1-phimax_pore)/phimax_pore^2)*($A39/100))*($A39/100))</f>
        <v>0.0692518960824975</v>
      </c>
      <c r="F39" s="9" t="n">
        <f aca="false">F$5*(1+A_pore*F$6*($A39/100))/(1-F$6*(1+((1-phimax_pore)/phimax_pore^2)*($A39/100))*($A39/100))</f>
        <v>0.0714976080615812</v>
      </c>
      <c r="G39" s="9" t="n">
        <f aca="false">G$5*(1+A_pore*G$6*($A39/100))/(1-G$6*(1+((1-phimax_pore)/phimax_pore^2)*($A39/100))*($A39/100))</f>
        <v>0.0737795382592791</v>
      </c>
      <c r="H39" s="9" t="n">
        <f aca="false">H$5*(1+A_pore*H$6*($A39/100))/(1-H$6*(1+((1-phimax_pore)/phimax_pore^2)*($A39/100))*($A39/100))</f>
        <v>0.0761082288490632</v>
      </c>
      <c r="I39" s="9" t="n">
        <f aca="false">I$5*(1+A_pore*I$6*($A39/100))/(1-I$6*(1+((1-phimax_pore)/phimax_pore^2)*($A39/100))*($A39/100))</f>
        <v>0.0784947924087796</v>
      </c>
      <c r="J39" s="9" t="n">
        <f aca="false">J$5*(1+A_pore*J$6*($A39/100))/(1-J$6*(1+((1-phimax_pore)/phimax_pore^2)*($A39/100))*($A39/100))</f>
        <v>0.0809511207930378</v>
      </c>
      <c r="K39" s="9" t="n">
        <f aca="false">K$5*(1+A_pore*K$6*($A39/100))/(1-K$6*(1+((1-phimax_pore)/phimax_pore^2)*($A39/100))*($A39/100))</f>
        <v>0.0834901199358692</v>
      </c>
      <c r="L39" s="9" t="n">
        <f aca="false">L$5*(1+A_pore*L$6*($A39/100))/(1-L$6*(1+((1-phimax_pore)/phimax_pore^2)*($A39/100))*($A39/100))</f>
        <v>0.0861259805364009</v>
      </c>
      <c r="M39" s="9" t="n">
        <f aca="false">M$5*(1+A_pore*M$6*($A39/100))/(1-M$6*(1+((1-phimax_pore)/phimax_pore^2)*($A39/100))*($A39/100))</f>
        <v>0.0888744969064478</v>
      </c>
      <c r="N39" s="9" t="n">
        <f aca="false">N$5*(1+A_pore*N$6*($A39/100))/(1-N$6*(1+((1-phimax_pore)/phimax_pore^2)*($A39/100))*($A39/100))</f>
        <v>0.0917534495630067</v>
      </c>
      <c r="O39" s="9" t="n">
        <f aca="false">O$5*(1+A_pore*O$6*($A39/100))/(1-O$6*(1+((1-phimax_pore)/phimax_pore^2)*($A39/100))*($A39/100))</f>
        <v>0.0947830717928123</v>
      </c>
      <c r="P39" s="9" t="n">
        <f aca="false">P$5*(1+A_pore*P$6*($A39/100))/(1-P$6*(1+((1-phimax_pore)/phimax_pore^2)*($A39/100))*($A39/100))</f>
        <v>0.0979866269426269</v>
      </c>
      <c r="Q39" s="9" t="n">
        <f aca="false">Q$5*(1+A_pore*Q$6*($A39/100))/(1-Q$6*(1+((1-phimax_pore)/phimax_pore^2)*($A39/100))*($A39/100))</f>
        <v>0.101391132413493</v>
      </c>
      <c r="R39" s="9" t="n">
        <f aca="false">R$5*(1+A_pore*R$6*($A39/100))/(1-R$6*(1+((1-phimax_pore)/phimax_pore^2)*($A39/100))*($A39/100))</f>
        <v>0.105028279499999</v>
      </c>
      <c r="S39" s="9" t="n">
        <f aca="false">S$5*(1+A_pore*S$6*($A39/100))/(1-S$6*(1+((1-phimax_pore)/phimax_pore^2)*($A39/100))*($A39/100))</f>
        <v>0.108935617229037</v>
      </c>
      <c r="T39" s="9" t="n">
        <f aca="false">T$5*(1+A_pore*T$6*($A39/100))/(1-T$6*(1+((1-phimax_pore)/phimax_pore^2)*($A39/100))*($A39/100))</f>
        <v>0.113158096214821</v>
      </c>
      <c r="U39" s="9" t="n">
        <f aca="false">U$5*(1+A_pore*U$6*($A39/100))/(1-U$6*(1+((1-phimax_pore)/phimax_pore^2)*($A39/100))*($A39/100))</f>
        <v>0.117750110048165</v>
      </c>
      <c r="V39" s="9" t="n">
        <f aca="false">V$5*(1+A_pore*V$6*($A39/100))/(1-V$6*(1+((1-phimax_pore)/phimax_pore^2)*($A39/100))*($A39/100))</f>
        <v>0.122778234692374</v>
      </c>
      <c r="W39" s="9" t="n">
        <f aca="false">W$5*(1+A_pore*W$6*($A39/100))/(1-W$6*(1+((1-phimax_pore)/phimax_pore^2)*($A39/100))*($A39/100))</f>
        <v>0.128324963811528</v>
      </c>
      <c r="X39" s="9" t="n">
        <f aca="false">X$5*(1+A_pore*X$6*($A39/100))/(1-X$6*(1+((1-phimax_pore)/phimax_pore^2)*($A39/100))*($A39/100))</f>
        <v>0.134493892253412</v>
      </c>
      <c r="Y39" s="9" t="n">
        <f aca="false">Y$5*(1+A_pore*Y$6*($A39/100))/(1-Y$6*(1+((1-phimax_pore)/phimax_pore^2)*($A39/100))*($A39/100))</f>
        <v>0.141417050419948</v>
      </c>
      <c r="Z39" s="9" t="n">
        <f aca="false">Z$5*(1+A_pore*Z$6*($A39/100))/(1-Z$6*(1+((1-phimax_pore)/phimax_pore^2)*($A39/100))*($A39/100))</f>
        <v>0.149265510587425</v>
      </c>
      <c r="AA39" s="9" t="n">
        <f aca="false">AA$5*(1+A_pore*AA$6*($A39/100))/(1-AA$6*(1+((1-phimax_pore)/phimax_pore^2)*($A39/100))*($A39/100))</f>
        <v>0.158265107328782</v>
      </c>
      <c r="AB39" s="9" t="n">
        <f aca="false">AB$5*(1+A_pore*AB$6*($A39/100))/(1-AB$6*(1+((1-phimax_pore)/phimax_pore^2)*($A39/100))*($A39/100))</f>
        <v>0.168720402779163</v>
      </c>
      <c r="AC39" s="9" t="n">
        <f aca="false">AC$5*(1+A_pore*AC$6*($A39/100))/(1-AC$6*(1+((1-phimax_pore)/phimax_pore^2)*($A39/100))*($A39/100))</f>
        <v>0.181052427356679</v>
      </c>
      <c r="AD39" s="9" t="n">
        <f aca="false">AD$5*(1+A_pore*AD$6*($A39/100))/(1-AD$6*(1+((1-phimax_pore)/phimax_pore^2)*($A39/100))*($A39/100))</f>
        <v>0.195860415394575</v>
      </c>
      <c r="AE39" s="9" t="n">
        <f aca="false">AE$5*(1+A_pore*AE$6*($A39/100))/(1-AE$6*(1+((1-phimax_pore)/phimax_pore^2)*($A39/100))*($A39/100))</f>
        <v>0.2140274462699</v>
      </c>
      <c r="AF39" s="9" t="n">
        <f aca="false">AF$5*(1+A_pore*AF$6*($A39/100))/(1-AF$6*(1+((1-phimax_pore)/phimax_pore^2)*($A39/100))*($A39/100))</f>
        <v>0.236911322068773</v>
      </c>
      <c r="AG39" s="9" t="n">
        <f aca="false">AG$5*(1+A_pore*AG$6*($A39/100))/(1-AG$6*(1+((1-phimax_pore)/phimax_pore^2)*($A39/100))*($A39/100))</f>
        <v>0.266713386933324</v>
      </c>
      <c r="AH39" s="9" t="n">
        <f aca="false">AH$5*(1+A_pore*AH$6*($A39/100))/(1-AH$6*(1+((1-phimax_pore)/phimax_pore^2)*($A39/100))*($A39/100))</f>
        <v>0.307254422528346</v>
      </c>
      <c r="AI39" s="9" t="n">
        <f aca="false">AI$5*(1+A_pore*AI$6*($A39/100))/(1-AI$6*(1+((1-phimax_pore)/phimax_pore^2)*($A39/100))*($A39/100))</f>
        <v>0.365799973466709</v>
      </c>
      <c r="AJ39" s="9" t="n">
        <f aca="false">AJ$5*(1+A_pore*AJ$6*($A39/100))/(1-AJ$6*(1+((1-phimax_pore)/phimax_pore^2)*($A39/100))*($A39/100))</f>
        <v>0.45807300586671</v>
      </c>
      <c r="AK39" s="9" t="n">
        <f aca="false">AK$5*(1+A_pore*AK$6*($A39/100))/(1-AK$6*(1+((1-phimax_pore)/phimax_pore^2)*($A39/100))*($A39/100))</f>
        <v>0.625612593636798</v>
      </c>
    </row>
    <row r="40" customFormat="false" ht="15" hidden="false" customHeight="false" outlineLevel="0" collapsed="false">
      <c r="A40" s="4" t="n">
        <v>31</v>
      </c>
      <c r="B40" s="9" t="n">
        <f aca="false">B$5*(1+A_pore*B$6*($A40/100))/(1-B$6*(1+((1-phimax_pore)/phimax_pore^2)*($A40/100))*($A40/100))</f>
        <v>0.0615783200556079</v>
      </c>
      <c r="C40" s="9" t="n">
        <f aca="false">C$5*(1+A_pore*C$6*($A40/100))/(1-C$6*(1+((1-phimax_pore)/phimax_pore^2)*($A40/100))*($A40/100))</f>
        <v>0.0636910262168926</v>
      </c>
      <c r="D40" s="9" t="n">
        <f aca="false">D$5*(1+A_pore*D$6*($A40/100))/(1-D$6*(1+((1-phimax_pore)/phimax_pore^2)*($A40/100))*($A40/100))</f>
        <v>0.0658085894968944</v>
      </c>
      <c r="E40" s="9" t="n">
        <f aca="false">E$5*(1+A_pore*E$6*($A40/100))/(1-E$6*(1+((1-phimax_pore)/phimax_pore^2)*($A40/100))*($A40/100))</f>
        <v>0.0679407227957861</v>
      </c>
      <c r="F40" s="9" t="n">
        <f aca="false">F$5*(1+A_pore*F$6*($A40/100))/(1-F$6*(1+((1-phimax_pore)/phimax_pore^2)*($A40/100))*($A40/100))</f>
        <v>0.0700971306699504</v>
      </c>
      <c r="G40" s="9" t="n">
        <f aca="false">G$5*(1+A_pore*G$6*($A40/100))/(1-G$6*(1+((1-phimax_pore)/phimax_pore^2)*($A40/100))*($A40/100))</f>
        <v>0.0722876852174332</v>
      </c>
      <c r="H40" s="9" t="n">
        <f aca="false">H$5*(1+A_pore*H$6*($A40/100))/(1-H$6*(1+((1-phimax_pore)/phimax_pore^2)*($A40/100))*($A40/100))</f>
        <v>0.0745226041217382</v>
      </c>
      <c r="I40" s="9" t="n">
        <f aca="false">I$5*(1+A_pore*I$6*($A40/100))/(1-I$6*(1+((1-phimax_pore)/phimax_pore^2)*($A40/100))*($A40/100))</f>
        <v>0.076812637666117</v>
      </c>
      <c r="J40" s="9" t="n">
        <f aca="false">J$5*(1+A_pore*J$6*($A40/100))/(1-J$6*(1+((1-phimax_pore)/phimax_pore^2)*($A40/100))*($A40/100))</f>
        <v>0.0791692719678342</v>
      </c>
      <c r="K40" s="9" t="n">
        <f aca="false">K$5*(1+A_pore*K$6*($A40/100))/(1-K$6*(1+((1-phimax_pore)/phimax_pore^2)*($A40/100))*($A40/100))</f>
        <v>0.0816049566047663</v>
      </c>
      <c r="L40" s="9" t="n">
        <f aca="false">L$5*(1+A_pore*L$6*($A40/100))/(1-L$6*(1+((1-phimax_pore)/phimax_pore^2)*($A40/100))*($A40/100))</f>
        <v>0.084133366299726</v>
      </c>
      <c r="M40" s="9" t="n">
        <f aca="false">M$5*(1+A_pore*M$6*($A40/100))/(1-M$6*(1+((1-phimax_pore)/phimax_pore^2)*($A40/100))*($A40/100))</f>
        <v>0.0867697085372932</v>
      </c>
      <c r="N40" s="9" t="n">
        <f aca="false">N$5*(1+A_pore*N$6*($A40/100))/(1-N$6*(1+((1-phimax_pore)/phimax_pore^2)*($A40/100))*($A40/100))</f>
        <v>0.0895310921424883</v>
      </c>
      <c r="O40" s="9" t="n">
        <f aca="false">O$5*(1+A_pore*O$6*($A40/100))/(1-O$6*(1+((1-phimax_pore)/phimax_pore^2)*($A40/100))*($A40/100))</f>
        <v>0.0924369762966006</v>
      </c>
      <c r="P40" s="9" t="n">
        <f aca="false">P$5*(1+A_pore*P$6*($A40/100))/(1-P$6*(1+((1-phimax_pore)/phimax_pore^2)*($A40/100))*($A40/100))</f>
        <v>0.0955097257224429</v>
      </c>
      <c r="Q40" s="9" t="n">
        <f aca="false">Q$5*(1+A_pore*Q$6*($A40/100))/(1-Q$6*(1+((1-phimax_pore)/phimax_pore^2)*($A40/100))*($A40/100))</f>
        <v>0.0987753066218072</v>
      </c>
      <c r="R40" s="9" t="n">
        <f aca="false">R$5*(1+A_pore*R$6*($A40/100))/(1-R$6*(1+((1-phimax_pore)/phimax_pore^2)*($A40/100))*($A40/100))</f>
        <v>0.102264170582348</v>
      </c>
      <c r="S40" s="9" t="n">
        <f aca="false">S$5*(1+A_pore*S$6*($A40/100))/(1-S$6*(1+((1-phimax_pore)/phimax_pore^2)*($A40/100))*($A40/100))</f>
        <v>0.106012391925601</v>
      </c>
      <c r="T40" s="9" t="n">
        <f aca="false">T$5*(1+A_pore*T$6*($A40/100))/(1-T$6*(1+((1-phimax_pore)/phimax_pore^2)*($A40/100))*($A40/100))</f>
        <v>0.110063150721382</v>
      </c>
      <c r="U40" s="9" t="n">
        <f aca="false">U$5*(1+A_pore*U$6*($A40/100))/(1-U$6*(1+((1-phimax_pore)/phimax_pore^2)*($A40/100))*($A40/100))</f>
        <v>0.114468693546245</v>
      </c>
      <c r="V40" s="9" t="n">
        <f aca="false">V$5*(1+A_pore*V$6*($A40/100))/(1-V$6*(1+((1-phimax_pore)/phimax_pore^2)*($A40/100))*($A40/100))</f>
        <v>0.119292964519242</v>
      </c>
      <c r="W40" s="9" t="n">
        <f aca="false">W$5*(1+A_pore*W$6*($A40/100))/(1-W$6*(1+((1-phimax_pore)/phimax_pore^2)*($A40/100))*($A40/100))</f>
        <v>0.124615192735247</v>
      </c>
      <c r="X40" s="9" t="n">
        <f aca="false">X$5*(1+A_pore*X$6*($A40/100))/(1-X$6*(1+((1-phimax_pore)/phimax_pore^2)*($A40/100))*($A40/100))</f>
        <v>0.13053487039262</v>
      </c>
      <c r="Y40" s="9" t="n">
        <f aca="false">Y$5*(1+A_pore*Y$6*($A40/100))/(1-Y$6*(1+((1-phimax_pore)/phimax_pore^2)*($A40/100))*($A40/100))</f>
        <v>0.137178796487536</v>
      </c>
      <c r="Z40" s="9" t="n">
        <f aca="false">Z$5*(1+A_pore*Z$6*($A40/100))/(1-Z$6*(1+((1-phimax_pore)/phimax_pore^2)*($A40/100))*($A40/100))</f>
        <v>0.144711262687362</v>
      </c>
      <c r="AA40" s="9" t="n">
        <f aca="false">AA$5*(1+A_pore*AA$6*($A40/100))/(1-AA$6*(1+((1-phimax_pore)/phimax_pore^2)*($A40/100))*($A40/100))</f>
        <v>0.153349150490525</v>
      </c>
      <c r="AB40" s="9" t="n">
        <f aca="false">AB$5*(1+A_pore*AB$6*($A40/100))/(1-AB$6*(1+((1-phimax_pore)/phimax_pore^2)*($A40/100))*($A40/100))</f>
        <v>0.163384946270914</v>
      </c>
      <c r="AC40" s="9" t="n">
        <f aca="false">AC$5*(1+A_pore*AC$6*($A40/100))/(1-AC$6*(1+((1-phimax_pore)/phimax_pore^2)*($A40/100))*($A40/100))</f>
        <v>0.175222985510694</v>
      </c>
      <c r="AD40" s="9" t="n">
        <f aca="false">AD$5*(1+A_pore*AD$6*($A40/100))/(1-AD$6*(1+((1-phimax_pore)/phimax_pore^2)*($A40/100))*($A40/100))</f>
        <v>0.189438740437896</v>
      </c>
      <c r="AE40" s="9" t="n">
        <f aca="false">AE$5*(1+A_pore*AE$6*($A40/100))/(1-AE$6*(1+((1-phimax_pore)/phimax_pore^2)*($A40/100))*($A40/100))</f>
        <v>0.20688027212202</v>
      </c>
      <c r="AF40" s="9" t="n">
        <f aca="false">AF$5*(1+A_pore*AF$6*($A40/100))/(1-AF$6*(1+((1-phimax_pore)/phimax_pore^2)*($A40/100))*($A40/100))</f>
        <v>0.22885153912955</v>
      </c>
      <c r="AG40" s="9" t="n">
        <f aca="false">AG$5*(1+A_pore*AG$6*($A40/100))/(1-AG$6*(1+((1-phimax_pore)/phimax_pore^2)*($A40/100))*($A40/100))</f>
        <v>0.257466591758967</v>
      </c>
      <c r="AH40" s="9" t="n">
        <f aca="false">AH$5*(1+A_pore*AH$6*($A40/100))/(1-AH$6*(1+((1-phimax_pore)/phimax_pore^2)*($A40/100))*($A40/100))</f>
        <v>0.296394700204971</v>
      </c>
      <c r="AI40" s="9" t="n">
        <f aca="false">AI$5*(1+A_pore*AI$6*($A40/100))/(1-AI$6*(1+((1-phimax_pore)/phimax_pore^2)*($A40/100))*($A40/100))</f>
        <v>0.352613298614133</v>
      </c>
      <c r="AJ40" s="9" t="n">
        <f aca="false">AJ$5*(1+A_pore*AJ$6*($A40/100))/(1-AJ$6*(1+((1-phimax_pore)/phimax_pore^2)*($A40/100))*($A40/100))</f>
        <v>0.441221871864831</v>
      </c>
      <c r="AK40" s="9" t="n">
        <f aca="false">AK$5*(1+A_pore*AK$6*($A40/100))/(1-AK$6*(1+((1-phimax_pore)/phimax_pore^2)*($A40/100))*($A40/100))</f>
        <v>0.602112301097898</v>
      </c>
    </row>
    <row r="41" customFormat="false" ht="15" hidden="false" customHeight="false" outlineLevel="0" collapsed="false">
      <c r="A41" s="4" t="n">
        <v>32</v>
      </c>
      <c r="B41" s="9" t="n">
        <f aca="false">B$5*(1+A_pore*B$6*($A41/100))/(1-B$6*(1+((1-phimax_pore)/phimax_pore^2)*($A41/100))*($A41/100))</f>
        <v>0.0605554936290221</v>
      </c>
      <c r="C41" s="9" t="n">
        <f aca="false">C$5*(1+A_pore*C$6*($A41/100))/(1-C$6*(1+((1-phimax_pore)/phimax_pore^2)*($A41/100))*($A41/100))</f>
        <v>0.0625871553493562</v>
      </c>
      <c r="D41" s="9" t="n">
        <f aca="false">D$5*(1+A_pore*D$6*($A41/100))/(1-D$6*(1+((1-phimax_pore)/phimax_pore^2)*($A41/100))*($A41/100))</f>
        <v>0.0646225318804848</v>
      </c>
      <c r="E41" s="9" t="n">
        <f aca="false">E$5*(1+A_pore*E$6*($A41/100))/(1-E$6*(1+((1-phimax_pore)/phimax_pore^2)*($A41/100))*($A41/100))</f>
        <v>0.0666711071044566</v>
      </c>
      <c r="F41" s="9" t="n">
        <f aca="false">F$5*(1+A_pore*F$6*($A41/100))/(1-F$6*(1+((1-phimax_pore)/phimax_pore^2)*($A41/100))*($A41/100))</f>
        <v>0.0687423303936984</v>
      </c>
      <c r="G41" s="9" t="n">
        <f aca="false">G$5*(1+A_pore*G$6*($A41/100))/(1-G$6*(1+((1-phimax_pore)/phimax_pore^2)*($A41/100))*($A41/100))</f>
        <v>0.0708457906358816</v>
      </c>
      <c r="H41" s="9" t="n">
        <f aca="false">H$5*(1+A_pore*H$6*($A41/100))/(1-H$6*(1+((1-phimax_pore)/phimax_pore^2)*($A41/100))*($A41/100))</f>
        <v>0.0729913912738601</v>
      </c>
      <c r="I41" s="9" t="n">
        <f aca="false">I$5*(1+A_pore*I$6*($A41/100))/(1-I$6*(1+((1-phimax_pore)/phimax_pore^2)*($A41/100))*($A41/100))</f>
        <v>0.0751895331487613</v>
      </c>
      <c r="J41" s="9" t="n">
        <f aca="false">J$5*(1+A_pore*J$6*($A41/100))/(1-J$6*(1+((1-phimax_pore)/phimax_pore^2)*($A41/100))*($A41/100))</f>
        <v>0.0774513122939439</v>
      </c>
      <c r="K41" s="9" t="n">
        <f aca="false">K$5*(1+A_pore*K$6*($A41/100))/(1-K$6*(1+((1-phimax_pore)/phimax_pore^2)*($A41/100))*($A41/100))</f>
        <v>0.0797887406698817</v>
      </c>
      <c r="L41" s="9" t="n">
        <f aca="false">L$5*(1+A_pore*L$6*($A41/100))/(1-L$6*(1+((1-phimax_pore)/phimax_pore^2)*($A41/100))*($A41/100))</f>
        <v>0.0822149992317429</v>
      </c>
      <c r="M41" s="9" t="n">
        <f aca="false">M$5*(1+A_pore*M$6*($A41/100))/(1-M$6*(1+((1-phimax_pore)/phimax_pore^2)*($A41/100))*($A41/100))</f>
        <v>0.0847447348197462</v>
      </c>
      <c r="N41" s="9" t="n">
        <f aca="false">N$5*(1+A_pore*N$6*($A41/100))/(1-N$6*(1+((1-phimax_pore)/phimax_pore^2)*($A41/100))*($A41/100))</f>
        <v>0.0873944153748644</v>
      </c>
      <c r="O41" s="9" t="n">
        <f aca="false">O$5*(1+A_pore*O$6*($A41/100))/(1-O$6*(1+((1-phimax_pore)/phimax_pore^2)*($A41/100))*($A41/100))</f>
        <v>0.0901827622401549</v>
      </c>
      <c r="P41" s="9" t="n">
        <f aca="false">P$5*(1+A_pore*P$6*($A41/100))/(1-P$6*(1+((1-phimax_pore)/phimax_pore^2)*($A41/100))*($A41/100))</f>
        <v>0.0931312843089601</v>
      </c>
      <c r="Q41" s="9" t="n">
        <f aca="false">Q$5*(1+A_pore*Q$6*($A41/100))/(1-Q$6*(1+((1-phimax_pore)/phimax_pore^2)*($A41/100))*($A41/100))</f>
        <v>0.0962649472764549</v>
      </c>
      <c r="R41" s="9" t="n">
        <f aca="false">R$5*(1+A_pore*R$6*($A41/100))/(1-R$6*(1+((1-phimax_pore)/phimax_pore^2)*($A41/100))*($A41/100))</f>
        <v>0.0996130233836366</v>
      </c>
      <c r="S41" s="9" t="n">
        <f aca="false">S$5*(1+A_pore*S$6*($A41/100))/(1-S$6*(1+((1-phimax_pore)/phimax_pore^2)*($A41/100))*($A41/100))</f>
        <v>0.103210184576443</v>
      </c>
      <c r="T41" s="9" t="n">
        <f aca="false">T$5*(1+A_pore*T$6*($A41/100))/(1-T$6*(1+((1-phimax_pore)/phimax_pore^2)*($A41/100))*($A41/100))</f>
        <v>0.107097927703039</v>
      </c>
      <c r="U41" s="9" t="n">
        <f aca="false">U$5*(1+A_pore*U$6*($A41/100))/(1-U$6*(1+((1-phimax_pore)/phimax_pore^2)*($A41/100))*($A41/100))</f>
        <v>0.111326458658578</v>
      </c>
      <c r="V41" s="9" t="n">
        <f aca="false">V$5*(1+A_pore*V$6*($A41/100))/(1-V$6*(1+((1-phimax_pore)/phimax_pore^2)*($A41/100))*($A41/100))</f>
        <v>0.115957220468633</v>
      </c>
      <c r="W41" s="9" t="n">
        <f aca="false">W$5*(1+A_pore*W$6*($A41/100))/(1-W$6*(1+((1-phimax_pore)/phimax_pore^2)*($A41/100))*($A41/100))</f>
        <v>0.12106634021675</v>
      </c>
      <c r="X41" s="9" t="n">
        <f aca="false">X$5*(1+A_pore*X$6*($A41/100))/(1-X$6*(1+((1-phimax_pore)/phimax_pore^2)*($A41/100))*($A41/100))</f>
        <v>0.126749412084504</v>
      </c>
      <c r="Y41" s="9" t="n">
        <f aca="false">Y$5*(1+A_pore*Y$6*($A41/100))/(1-Y$6*(1+((1-phimax_pore)/phimax_pore^2)*($A41/100))*($A41/100))</f>
        <v>0.133128264910398</v>
      </c>
      <c r="Z41" s="9" t="n">
        <f aca="false">Z$5*(1+A_pore*Z$6*($A41/100))/(1-Z$6*(1+((1-phimax_pore)/phimax_pore^2)*($A41/100))*($A41/100))</f>
        <v>0.140360748655115</v>
      </c>
      <c r="AA41" s="9" t="n">
        <f aca="false">AA$5*(1+A_pore*AA$6*($A41/100))/(1-AA$6*(1+((1-phimax_pore)/phimax_pore^2)*($A41/100))*($A41/100))</f>
        <v>0.148655239492323</v>
      </c>
      <c r="AB41" s="9" t="n">
        <f aca="false">AB$5*(1+A_pore*AB$6*($A41/100))/(1-AB$6*(1+((1-phimax_pore)/phimax_pore^2)*($A41/100))*($A41/100))</f>
        <v>0.158292752194643</v>
      </c>
      <c r="AC41" s="9" t="n">
        <f aca="false">AC$5*(1+A_pore*AC$6*($A41/100))/(1-AC$6*(1+((1-phimax_pore)/phimax_pore^2)*($A41/100))*($A41/100))</f>
        <v>0.169661762789427</v>
      </c>
      <c r="AD41" s="9" t="n">
        <f aca="false">AD$5*(1+A_pore*AD$6*($A41/100))/(1-AD$6*(1+((1-phimax_pore)/phimax_pore^2)*($A41/100))*($A41/100))</f>
        <v>0.183315170747907</v>
      </c>
      <c r="AE41" s="9" t="n">
        <f aca="false">AE$5*(1+A_pore*AE$6*($A41/100))/(1-AE$6*(1+((1-phimax_pore)/phimax_pore^2)*($A41/100))*($A41/100))</f>
        <v>0.200067771754519</v>
      </c>
      <c r="AF41" s="9" t="n">
        <f aca="false">AF$5*(1+A_pore*AF$6*($A41/100))/(1-AF$6*(1+((1-phimax_pore)/phimax_pore^2)*($A41/100))*($A41/100))</f>
        <v>0.221172376268508</v>
      </c>
      <c r="AG41" s="9" t="n">
        <f aca="false">AG$5*(1+A_pore*AG$6*($A41/100))/(1-AG$6*(1+((1-phimax_pore)/phimax_pore^2)*($A41/100))*($A41/100))</f>
        <v>0.248660110806002</v>
      </c>
      <c r="AH41" s="9" t="n">
        <f aca="false">AH$5*(1+A_pore*AH$6*($A41/100))/(1-AH$6*(1+((1-phimax_pore)/phimax_pore^2)*($A41/100))*($A41/100))</f>
        <v>0.286056319071476</v>
      </c>
      <c r="AI41" s="9" t="n">
        <f aca="false">AI$5*(1+A_pore*AI$6*($A41/100))/(1-AI$6*(1+((1-phimax_pore)/phimax_pore^2)*($A41/100))*($A41/100))</f>
        <v>0.340064748196655</v>
      </c>
      <c r="AJ41" s="9" t="n">
        <f aca="false">AJ$5*(1+A_pore*AJ$6*($A41/100))/(1-AJ$6*(1+((1-phimax_pore)/phimax_pore^2)*($A41/100))*($A41/100))</f>
        <v>0.425192614651114</v>
      </c>
      <c r="AK41" s="9" t="n">
        <f aca="false">AK$5*(1+A_pore*AK$6*($A41/100))/(1-AK$6*(1+((1-phimax_pore)/phimax_pore^2)*($A41/100))*($A41/100))</f>
        <v>0.579767068721723</v>
      </c>
    </row>
    <row r="42" customFormat="false" ht="15" hidden="false" customHeight="false" outlineLevel="0" collapsed="false">
      <c r="A42" s="4" t="n">
        <v>33</v>
      </c>
      <c r="B42" s="9" t="n">
        <f aca="false">B$5*(1+A_pore*B$6*($A42/100))/(1-B$6*(1+((1-phimax_pore)/phimax_pore^2)*($A42/100))*($A42/100))</f>
        <v>0.0595615000333045</v>
      </c>
      <c r="C42" s="9" t="n">
        <f aca="false">C$5*(1+A_pore*C$6*($A42/100))/(1-C$6*(1+((1-phimax_pore)/phimax_pore^2)*($A42/100))*($A42/100))</f>
        <v>0.0615155791484076</v>
      </c>
      <c r="D42" s="9" t="n">
        <f aca="false">D$5*(1+A_pore*D$6*($A42/100))/(1-D$6*(1+((1-phimax_pore)/phimax_pore^2)*($A42/100))*($A42/100))</f>
        <v>0.0634723618813225</v>
      </c>
      <c r="E42" s="9" t="n">
        <f aca="false">E$5*(1+A_pore*E$6*($A42/100))/(1-E$6*(1+((1-phimax_pore)/phimax_pore^2)*($A42/100))*($A42/100))</f>
        <v>0.065441105892437</v>
      </c>
      <c r="F42" s="9" t="n">
        <f aca="false">F$5*(1+A_pore*F$6*($A42/100))/(1-F$6*(1+((1-phimax_pore)/phimax_pore^2)*($A42/100))*($A42/100))</f>
        <v>0.067431010468256</v>
      </c>
      <c r="G42" s="9" t="n">
        <f aca="false">G$5*(1+A_pore*G$6*($A42/100))/(1-G$6*(1+((1-phimax_pore)/phimax_pore^2)*($A42/100))*($A42/100))</f>
        <v>0.0694513886555845</v>
      </c>
      <c r="H42" s="9" t="n">
        <f aca="false">H$5*(1+A_pore*H$6*($A42/100))/(1-H$6*(1+((1-phimax_pore)/phimax_pore^2)*($A42/100))*($A42/100))</f>
        <v>0.0715118393345993</v>
      </c>
      <c r="I42" s="9" t="n">
        <f aca="false">I$5*(1+A_pore*I$6*($A42/100))/(1-I$6*(1+((1-phimax_pore)/phimax_pore^2)*($A42/100))*($A42/100))</f>
        <v>0.0736224259965151</v>
      </c>
      <c r="J42" s="9" t="n">
        <f aca="false">J$5*(1+A_pore*J$6*($A42/100))/(1-J$6*(1+((1-phimax_pore)/phimax_pore^2)*($A42/100))*($A42/100))</f>
        <v>0.0757938692764156</v>
      </c>
      <c r="K42" s="9" t="n">
        <f aca="false">K$5*(1+A_pore*K$6*($A42/100))/(1-K$6*(1+((1-phimax_pore)/phimax_pore^2)*($A42/100))*($A42/100))</f>
        <v>0.0780377610571174</v>
      </c>
      <c r="L42" s="9" t="n">
        <f aca="false">L$5*(1+A_pore*L$6*($A42/100))/(1-L$6*(1+((1-phimax_pore)/phimax_pore^2)*($A42/100))*($A42/100))</f>
        <v>0.0803668092745817</v>
      </c>
      <c r="M42" s="9" t="n">
        <f aca="false">M$5*(1+A_pore*M$6*($A42/100))/(1-M$6*(1+((1-phimax_pore)/phimax_pore^2)*($A42/100))*($A42/100))</f>
        <v>0.082795124548007</v>
      </c>
      <c r="N42" s="9" t="n">
        <f aca="false">N$5*(1+A_pore*N$6*($A42/100))/(1-N$6*(1+((1-phimax_pore)/phimax_pore^2)*($A42/100))*($A42/100))</f>
        <v>0.0853385626351193</v>
      </c>
      <c r="O42" s="9" t="n">
        <f aca="false">O$5*(1+A_pore*O$6*($A42/100))/(1-O$6*(1+((1-phimax_pore)/phimax_pore^2)*($A42/100))*($A42/100))</f>
        <v>0.0880151407918913</v>
      </c>
      <c r="P42" s="9" t="n">
        <f aca="false">P$5*(1+A_pore*P$6*($A42/100))/(1-P$6*(1+((1-phimax_pore)/phimax_pore^2)*($A42/100))*($A42/100))</f>
        <v>0.0908455518734776</v>
      </c>
      <c r="Q42" s="9" t="n">
        <f aca="false">Q$5*(1+A_pore*Q$6*($A42/100))/(1-Q$6*(1+((1-phimax_pore)/phimax_pore^2)*($A42/100))*($A42/100))</f>
        <v>0.0938538081705738</v>
      </c>
      <c r="R42" s="9" t="n">
        <f aca="false">R$5*(1+A_pore*R$6*($A42/100))/(1-R$6*(1+((1-phimax_pore)/phimax_pore^2)*($A42/100))*($A42/100))</f>
        <v>0.0970680586307833</v>
      </c>
      <c r="S42" s="9" t="n">
        <f aca="false">S$5*(1+A_pore*S$6*($A42/100))/(1-S$6*(1+((1-phimax_pore)/phimax_pore^2)*($A42/100))*($A42/100))</f>
        <v>0.100521639962587</v>
      </c>
      <c r="T42" s="9" t="n">
        <f aca="false">T$5*(1+A_pore*T$6*($A42/100))/(1-T$6*(1+((1-phimax_pore)/phimax_pore^2)*($A42/100))*($A42/100))</f>
        <v>0.10425444681819</v>
      </c>
      <c r="U42" s="9" t="n">
        <f aca="false">U$5*(1+A_pore*U$6*($A42/100))/(1-U$6*(1+((1-phimax_pore)/phimax_pore^2)*($A42/100))*($A42/100))</f>
        <v>0.108314743048202</v>
      </c>
      <c r="V42" s="9" t="n">
        <f aca="false">V$5*(1+A_pore*V$6*($A42/100))/(1-V$6*(1+((1-phimax_pore)/phimax_pore^2)*($A42/100))*($A42/100))</f>
        <v>0.11276159184529</v>
      </c>
      <c r="W42" s="9" t="n">
        <f aca="false">W$5*(1+A_pore*W$6*($A42/100))/(1-W$6*(1+((1-phimax_pore)/phimax_pore^2)*($A42/100))*($A42/100))</f>
        <v>0.117668169014935</v>
      </c>
      <c r="X42" s="9" t="n">
        <f aca="false">X$5*(1+A_pore*X$6*($A42/100))/(1-X$6*(1+((1-phimax_pore)/phimax_pore^2)*($A42/100))*($A42/100))</f>
        <v>0.123126360444737</v>
      </c>
      <c r="Y42" s="9" t="n">
        <f aca="false">Y$5*(1+A_pore*Y$6*($A42/100))/(1-Y$6*(1+((1-phimax_pore)/phimax_pore^2)*($A42/100))*($A42/100))</f>
        <v>0.129253267005108</v>
      </c>
      <c r="Z42" s="9" t="n">
        <f aca="false">Z$5*(1+A_pore*Z$6*($A42/100))/(1-Z$6*(1+((1-phimax_pore)/phimax_pore^2)*($A42/100))*($A42/100))</f>
        <v>0.136200611106247</v>
      </c>
      <c r="AA42" s="9" t="n">
        <f aca="false">AA$5*(1+A_pore*AA$6*($A42/100))/(1-AA$6*(1+((1-phimax_pore)/phimax_pore^2)*($A42/100))*($A42/100))</f>
        <v>0.144168678631448</v>
      </c>
      <c r="AB42" s="9" t="n">
        <f aca="false">AB$5*(1+A_pore*AB$6*($A42/100))/(1-AB$6*(1+((1-phimax_pore)/phimax_pore^2)*($A42/100))*($A42/100))</f>
        <v>0.153427572747932</v>
      </c>
      <c r="AC42" s="9" t="n">
        <f aca="false">AC$5*(1+A_pore*AC$6*($A42/100))/(1-AC$6*(1+((1-phimax_pore)/phimax_pore^2)*($A42/100))*($A42/100))</f>
        <v>0.164350684416297</v>
      </c>
      <c r="AD42" s="9" t="n">
        <f aca="false">AD$5*(1+A_pore*AD$6*($A42/100))/(1-AD$6*(1+((1-phimax_pore)/phimax_pore^2)*($A42/100))*($A42/100))</f>
        <v>0.17746944271214</v>
      </c>
      <c r="AE42" s="9" t="n">
        <f aca="false">AE$5*(1+A_pore*AE$6*($A42/100))/(1-AE$6*(1+((1-phimax_pore)/phimax_pore^2)*($A42/100))*($A42/100))</f>
        <v>0.19356700263401</v>
      </c>
      <c r="AF42" s="9" t="n">
        <f aca="false">AF$5*(1+A_pore*AF$6*($A42/100))/(1-AF$6*(1+((1-phimax_pore)/phimax_pore^2)*($A42/100))*($A42/100))</f>
        <v>0.213847524765798</v>
      </c>
      <c r="AG42" s="9" t="n">
        <f aca="false">AG$5*(1+A_pore*AG$6*($A42/100))/(1-AG$6*(1+((1-phimax_pore)/phimax_pore^2)*($A42/100))*($A42/100))</f>
        <v>0.240263262200589</v>
      </c>
      <c r="AH42" s="9" t="n">
        <f aca="false">AH$5*(1+A_pore*AH$6*($A42/100))/(1-AH$6*(1+((1-phimax_pore)/phimax_pore^2)*($A42/100))*($A42/100))</f>
        <v>0.276202662223789</v>
      </c>
      <c r="AI42" s="9" t="n">
        <f aca="false">AI$5*(1+A_pore*AI$6*($A42/100))/(1-AI$6*(1+((1-phimax_pore)/phimax_pore^2)*($A42/100))*($A42/100))</f>
        <v>0.328109153191054</v>
      </c>
      <c r="AJ42" s="9" t="n">
        <f aca="false">AJ$5*(1+A_pore*AJ$6*($A42/100))/(1-AJ$6*(1+((1-phimax_pore)/phimax_pore^2)*($A42/100))*($A42/100))</f>
        <v>0.40992661247442</v>
      </c>
      <c r="AK42" s="9" t="n">
        <f aca="false">AK$5*(1+A_pore*AK$6*($A42/100))/(1-AK$6*(1+((1-phimax_pore)/phimax_pore^2)*($A42/100))*($A42/100))</f>
        <v>0.558493888539485</v>
      </c>
    </row>
    <row r="43" customFormat="false" ht="15" hidden="false" customHeight="false" outlineLevel="0" collapsed="false">
      <c r="A43" s="4" t="n">
        <v>34</v>
      </c>
      <c r="B43" s="9" t="n">
        <f aca="false">B$5*(1+A_pore*B$6*($A43/100))/(1-B$6*(1+((1-phimax_pore)/phimax_pore^2)*($A43/100))*($A43/100))</f>
        <v>0.0585951382225076</v>
      </c>
      <c r="C43" s="9" t="n">
        <f aca="false">C$5*(1+A_pore*C$6*($A43/100))/(1-C$6*(1+((1-phimax_pore)/phimax_pore^2)*($A43/100))*($A43/100))</f>
        <v>0.0604749021910936</v>
      </c>
      <c r="D43" s="9" t="n">
        <f aca="false">D$5*(1+A_pore*D$6*($A43/100))/(1-D$6*(1+((1-phimax_pore)/phimax_pore^2)*($A43/100))*($A43/100))</f>
        <v>0.0623564764972003</v>
      </c>
      <c r="E43" s="9" t="n">
        <f aca="false">E$5*(1+A_pore*E$6*($A43/100))/(1-E$6*(1+((1-phimax_pore)/phimax_pore^2)*($A43/100))*($A43/100))</f>
        <v>0.0642488953233776</v>
      </c>
      <c r="F43" s="9" t="n">
        <f aca="false">F$5*(1+A_pore*F$6*($A43/100))/(1-F$6*(1+((1-phimax_pore)/phimax_pore^2)*($A43/100))*($A43/100))</f>
        <v>0.0661611127719323</v>
      </c>
      <c r="G43" s="9" t="n">
        <f aca="false">G$5*(1+A_pore*G$6*($A43/100))/(1-G$6*(1+((1-phimax_pore)/phimax_pore^2)*($A43/100))*($A43/100))</f>
        <v>0.0681021730703023</v>
      </c>
      <c r="H43" s="9" t="n">
        <f aca="false">H$5*(1+A_pore*H$6*($A43/100))/(1-H$6*(1+((1-phimax_pore)/phimax_pore^2)*($A43/100))*($A43/100))</f>
        <v>0.0700813797044318</v>
      </c>
      <c r="I43" s="9" t="n">
        <f aca="false">I$5*(1+A_pore*I$6*($A43/100))/(1-I$6*(1+((1-phimax_pore)/phimax_pore^2)*($A43/100))*($A43/100))</f>
        <v>0.0721084702242529</v>
      </c>
      <c r="J43" s="9" t="n">
        <f aca="false">J$5*(1+A_pore*J$6*($A43/100))/(1-J$6*(1+((1-phimax_pore)/phimax_pore^2)*($A43/100))*($A43/100))</f>
        <v>0.0741938036783917</v>
      </c>
      <c r="K43" s="9" t="n">
        <f aca="false">K$5*(1+A_pore*K$6*($A43/100))/(1-K$6*(1+((1-phimax_pore)/phimax_pore^2)*($A43/100))*($A43/100))</f>
        <v>0.0763485683268632</v>
      </c>
      <c r="L43" s="9" t="n">
        <f aca="false">L$5*(1+A_pore*L$6*($A43/100))/(1-L$6*(1+((1-phimax_pore)/phimax_pore^2)*($A43/100))*($A43/100))</f>
        <v>0.0785850185121853</v>
      </c>
      <c r="M43" s="9" t="n">
        <f aca="false">M$5*(1+A_pore*M$6*($A43/100))/(1-M$6*(1+((1-phimax_pore)/phimax_pore^2)*($A43/100))*($A43/100))</f>
        <v>0.0809167514613324</v>
      </c>
      <c r="N43" s="9" t="n">
        <f aca="false">N$5*(1+A_pore*N$6*($A43/100))/(1-N$6*(1+((1-phimax_pore)/phimax_pore^2)*($A43/100))*($A43/100))</f>
        <v>0.0833590375397733</v>
      </c>
      <c r="O43" s="9" t="n">
        <f aca="false">O$5*(1+A_pore*O$6*($A43/100))/(1-O$6*(1+((1-phimax_pore)/phimax_pore^2)*($A43/100))*($A43/100))</f>
        <v>0.0859292213871983</v>
      </c>
      <c r="P43" s="9" t="n">
        <f aca="false">P$5*(1+A_pore*P$6*($A43/100))/(1-P$6*(1+((1-phimax_pore)/phimax_pore^2)*($A43/100))*($A43/100))</f>
        <v>0.0886472168904293</v>
      </c>
      <c r="Q43" s="9" t="n">
        <f aca="false">Q$5*(1+A_pore*Q$6*($A43/100))/(1-Q$6*(1+((1-phimax_pore)/phimax_pore^2)*($A43/100))*($A43/100))</f>
        <v>0.0915361267848254</v>
      </c>
      <c r="R43" s="9" t="n">
        <f aca="false">R$5*(1+A_pore*R$6*($A43/100))/(1-R$6*(1+((1-phimax_pore)/phimax_pore^2)*($A43/100))*($A43/100))</f>
        <v>0.094623028876512</v>
      </c>
      <c r="S43" s="9" t="n">
        <f aca="false">S$5*(1+A_pore*S$6*($A43/100))/(1-S$6*(1+((1-phimax_pore)/phimax_pore^2)*($A43/100))*($A43/100))</f>
        <v>0.0979399870729692</v>
      </c>
      <c r="T43" s="9" t="n">
        <f aca="false">T$5*(1+A_pore*T$6*($A43/100))/(1-T$6*(1+((1-phimax_pore)/phimax_pore^2)*($A43/100))*($A43/100))</f>
        <v>0.101525369154383</v>
      </c>
      <c r="U43" s="9" t="n">
        <f aca="false">U$5*(1+A_pore*U$6*($A43/100))/(1-U$6*(1+((1-phimax_pore)/phimax_pore^2)*($A43/100))*($A43/100))</f>
        <v>0.10542558859635</v>
      </c>
      <c r="V43" s="9" t="n">
        <f aca="false">V$5*(1+A_pore*V$6*($A43/100))/(1-V$6*(1+((1-phimax_pore)/phimax_pore^2)*($A43/100))*($A43/100))</f>
        <v>0.109697441428752</v>
      </c>
      <c r="W43" s="9" t="n">
        <f aca="false">W$5*(1+A_pore*W$6*($A43/100))/(1-W$6*(1+((1-phimax_pore)/phimax_pore^2)*($A43/100))*($A43/100))</f>
        <v>0.114411292209961</v>
      </c>
      <c r="X43" s="9" t="n">
        <f aca="false">X$5*(1+A_pore*X$6*($A43/100))/(1-X$6*(1+((1-phimax_pore)/phimax_pore^2)*($A43/100))*($A43/100))</f>
        <v>0.119655494762947</v>
      </c>
      <c r="Y43" s="9" t="n">
        <f aca="false">Y$5*(1+A_pore*Y$6*($A43/100))/(1-Y$6*(1+((1-phimax_pore)/phimax_pore^2)*($A43/100))*($A43/100))</f>
        <v>0.125542646932838</v>
      </c>
      <c r="Z43" s="9" t="n">
        <f aca="false">Z$5*(1+A_pore*Z$6*($A43/100))/(1-Z$6*(1+((1-phimax_pore)/phimax_pore^2)*($A43/100))*($A43/100))</f>
        <v>0.132218635343164</v>
      </c>
      <c r="AA43" s="9" t="n">
        <f aca="false">AA$5*(1+A_pore*AA$6*($A43/100))/(1-AA$6*(1+((1-phimax_pore)/phimax_pore^2)*($A43/100))*($A43/100))</f>
        <v>0.139876041018716</v>
      </c>
      <c r="AB43" s="9" t="n">
        <f aca="false">AB$5*(1+A_pore*AB$6*($A43/100))/(1-AB$6*(1+((1-phimax_pore)/phimax_pore^2)*($A43/100))*($A43/100))</f>
        <v>0.148774575556479</v>
      </c>
      <c r="AC43" s="9" t="n">
        <f aca="false">AC$5*(1+A_pore*AC$6*($A43/100))/(1-AC$6*(1+((1-phimax_pore)/phimax_pore^2)*($A43/100))*($A43/100))</f>
        <v>0.159273263961091</v>
      </c>
      <c r="AD43" s="9" t="n">
        <f aca="false">AD$5*(1+A_pore*AD$6*($A43/100))/(1-AD$6*(1+((1-phimax_pore)/phimax_pore^2)*($A43/100))*($A43/100))</f>
        <v>0.171883088568362</v>
      </c>
      <c r="AE43" s="9" t="n">
        <f aca="false">AE$5*(1+A_pore*AE$6*($A43/100))/(1-AE$6*(1+((1-phimax_pore)/phimax_pore^2)*($A43/100))*($A43/100))</f>
        <v>0.187357072375784</v>
      </c>
      <c r="AF43" s="9" t="n">
        <f aca="false">AF$5*(1+A_pore*AF$6*($A43/100))/(1-AF$6*(1+((1-phimax_pore)/phimax_pore^2)*($A43/100))*($A43/100))</f>
        <v>0.206853045918981</v>
      </c>
      <c r="AG43" s="9" t="n">
        <f aca="false">AG$5*(1+A_pore*AG$6*($A43/100))/(1-AG$6*(1+((1-phimax_pore)/phimax_pore^2)*($A43/100))*($A43/100))</f>
        <v>0.232248149968347</v>
      </c>
      <c r="AH43" s="9" t="n">
        <f aca="false">AH$5*(1+A_pore*AH$6*($A43/100))/(1-AH$6*(1+((1-phimax_pore)/phimax_pore^2)*($A43/100))*($A43/100))</f>
        <v>0.26680046339327</v>
      </c>
      <c r="AI43" s="9" t="n">
        <f aca="false">AI$5*(1+A_pore*AI$6*($A43/100))/(1-AI$6*(1+((1-phimax_pore)/phimax_pore^2)*($A43/100))*($A43/100))</f>
        <v>0.316705509281114</v>
      </c>
      <c r="AJ43" s="9" t="n">
        <f aca="false">AJ$5*(1+A_pore*AJ$6*($A43/100))/(1-AJ$6*(1+((1-phimax_pore)/phimax_pore^2)*($A43/100))*($A43/100))</f>
        <v>0.395370689143348</v>
      </c>
      <c r="AK43" s="9" t="n">
        <f aca="false">AK$5*(1+A_pore*AK$6*($A43/100))/(1-AK$6*(1+((1-phimax_pore)/phimax_pore^2)*($A43/100))*($A43/100))</f>
        <v>0.538217520248518</v>
      </c>
    </row>
    <row r="44" customFormat="false" ht="15" hidden="false" customHeight="false" outlineLevel="0" collapsed="false">
      <c r="A44" s="4" t="n">
        <v>35</v>
      </c>
      <c r="B44" s="9" t="n">
        <f aca="false">B$5*(1+A_pore*B$6*($A44/100))/(1-B$6*(1+((1-phimax_pore)/phimax_pore^2)*($A44/100))*($A44/100))</f>
        <v>0.0576552729435556</v>
      </c>
      <c r="C44" s="9" t="n">
        <f aca="false">C$5*(1+A_pore*C$6*($A44/100))/(1-C$6*(1+((1-phimax_pore)/phimax_pore^2)*($A44/100))*($A44/100))</f>
        <v>0.0594638083057208</v>
      </c>
      <c r="D44" s="9" t="n">
        <f aca="false">D$5*(1+A_pore*D$6*($A44/100))/(1-D$6*(1+((1-phimax_pore)/phimax_pore^2)*($A44/100))*($A44/100))</f>
        <v>0.0612733667937009</v>
      </c>
      <c r="E44" s="9" t="n">
        <f aca="false">E$5*(1+A_pore*E$6*($A44/100))/(1-E$6*(1+((1-phimax_pore)/phimax_pore^2)*($A44/100))*($A44/100))</f>
        <v>0.063092761826387</v>
      </c>
      <c r="F44" s="9" t="n">
        <f aca="false">F$5*(1+A_pore*F$6*($A44/100))/(1-F$6*(1+((1-phimax_pore)/phimax_pore^2)*($A44/100))*($A44/100))</f>
        <v>0.0649307070582184</v>
      </c>
      <c r="G44" s="9" t="n">
        <f aca="false">G$5*(1+A_pore*G$6*($A44/100))/(1-G$6*(1+((1-phimax_pore)/phimax_pore^2)*($A44/100))*($A44/100))</f>
        <v>0.0667959846114449</v>
      </c>
      <c r="H44" s="9" t="n">
        <f aca="false">H$5*(1+A_pore*H$6*($A44/100))/(1-H$6*(1+((1-phimax_pore)/phimax_pore^2)*($A44/100))*($A44/100))</f>
        <v>0.0686976112889958</v>
      </c>
      <c r="I44" s="9" t="n">
        <f aca="false">I$5*(1+A_pore*I$6*($A44/100))/(1-I$6*(1+((1-phimax_pore)/phimax_pore^2)*($A44/100))*($A44/100))</f>
        <v>0.0706450094904003</v>
      </c>
      <c r="J44" s="9" t="n">
        <f aca="false">J$5*(1+A_pore*J$6*($A44/100))/(1-J$6*(1+((1-phimax_pore)/phimax_pore^2)*($A44/100))*($A44/100))</f>
        <v>0.0726481896973102</v>
      </c>
      <c r="K44" s="9" t="n">
        <f aca="false">K$5*(1+A_pore*K$6*($A44/100))/(1-K$6*(1+((1-phimax_pore)/phimax_pore^2)*($A44/100))*($A44/100))</f>
        <v>0.0747179520164707</v>
      </c>
      <c r="L44" s="9" t="n">
        <f aca="false">L$5*(1+A_pore*L$6*($A44/100))/(1-L$6*(1+((1-phimax_pore)/phimax_pore^2)*($A44/100))*($A44/100))</f>
        <v>0.0768661154205763</v>
      </c>
      <c r="M44" s="9" t="n">
        <f aca="false">M$5*(1+A_pore*M$6*($A44/100))/(1-M$6*(1+((1-phimax_pore)/phimax_pore^2)*($A44/100))*($A44/100))</f>
        <v>0.0791057851236178</v>
      </c>
      <c r="N44" s="9" t="n">
        <f aca="false">N$5*(1+A_pore*N$6*($A44/100))/(1-N$6*(1+((1-phimax_pore)/phimax_pore^2)*($A44/100))*($A44/100))</f>
        <v>0.081451671153721</v>
      </c>
      <c r="O44" s="9" t="n">
        <f aca="false">O$5*(1+A_pore*O$6*($A44/100))/(1-O$6*(1+((1-phimax_pore)/phimax_pore^2)*($A44/100))*($A44/100))</f>
        <v>0.0839204749325826</v>
      </c>
      <c r="P44" s="9" t="n">
        <f aca="false">P$5*(1+A_pore*P$6*($A44/100))/(1-P$6*(1+((1-phimax_pore)/phimax_pore^2)*($A44/100))*($A44/100))</f>
        <v>0.0865313659757605</v>
      </c>
      <c r="Q44" s="9" t="n">
        <f aca="false">Q$5*(1+A_pore*Q$6*($A44/100))/(1-Q$6*(1+((1-phimax_pore)/phimax_pore^2)*($A44/100))*($A44/100))</f>
        <v>0.0893065783574274</v>
      </c>
      <c r="R44" s="9" t="n">
        <f aca="false">R$5*(1+A_pore*R$6*($A44/100))/(1-R$6*(1+((1-phimax_pore)/phimax_pore^2)*($A44/100))*($A44/100))</f>
        <v>0.0922721673511173</v>
      </c>
      <c r="S44" s="9" t="n">
        <f aca="false">S$5*(1+A_pore*S$6*($A44/100))/(1-S$6*(1+((1-phimax_pore)/phimax_pore^2)*($A44/100))*($A44/100))</f>
        <v>0.0954589822309333</v>
      </c>
      <c r="T44" s="9" t="n">
        <f aca="false">T$5*(1+A_pore*T$6*($A44/100))/(1-T$6*(1+((1-phimax_pore)/phimax_pore^2)*($A44/100))*($A44/100))</f>
        <v>0.0989039340532497</v>
      </c>
      <c r="U44" s="9" t="n">
        <f aca="false">U$5*(1+A_pore*U$6*($A44/100))/(1-U$6*(1+((1-phimax_pore)/phimax_pore^2)*($A44/100))*($A44/100))</f>
        <v>0.102651671264791</v>
      </c>
      <c r="V44" s="9" t="n">
        <f aca="false">V$5*(1+A_pore*V$6*($A44/100))/(1-V$6*(1+((1-phimax_pore)/phimax_pore^2)*($A44/100))*($A44/100))</f>
        <v>0.106756827607462</v>
      </c>
      <c r="W44" s="9" t="n">
        <f aca="false">W$5*(1+A_pore*W$6*($A44/100))/(1-W$6*(1+((1-phimax_pore)/phimax_pore^2)*($A44/100))*($A44/100))</f>
        <v>0.111287086712989</v>
      </c>
      <c r="X44" s="9" t="n">
        <f aca="false">X$5*(1+A_pore*X$6*($A44/100))/(1-X$6*(1+((1-phimax_pore)/phimax_pore^2)*($A44/100))*($A44/100))</f>
        <v>0.116327434327311</v>
      </c>
      <c r="Y44" s="9" t="n">
        <f aca="false">Y$5*(1+A_pore*Y$6*($A44/100))/(1-Y$6*(1+((1-phimax_pore)/phimax_pore^2)*($A44/100))*($A44/100))</f>
        <v>0.121986174567421</v>
      </c>
      <c r="Z44" s="9" t="n">
        <f aca="false">Z$5*(1+A_pore*Z$6*($A44/100))/(1-Z$6*(1+((1-phimax_pore)/phimax_pore^2)*($A44/100))*($A44/100))</f>
        <v>0.128403629721619</v>
      </c>
      <c r="AA44" s="9" t="n">
        <f aca="false">AA$5*(1+A_pore*AA$6*($A44/100))/(1-AA$6*(1+((1-phimax_pore)/phimax_pore^2)*($A44/100))*($A44/100))</f>
        <v>0.135765034536505</v>
      </c>
      <c r="AB44" s="9" t="n">
        <f aca="false">AB$5*(1+A_pore*AB$6*($A44/100))/(1-AB$6*(1+((1-phimax_pore)/phimax_pore^2)*($A44/100))*($A44/100))</f>
        <v>0.144320192827978</v>
      </c>
      <c r="AC44" s="9" t="n">
        <f aca="false">AC$5*(1+A_pore*AC$6*($A44/100))/(1-AC$6*(1+((1-phimax_pore)/phimax_pore^2)*($A44/100))*($A44/100))</f>
        <v>0.154414432617875</v>
      </c>
      <c r="AD44" s="9" t="n">
        <f aca="false">AD$5*(1+A_pore*AD$6*($A44/100))/(1-AD$6*(1+((1-phimax_pore)/phimax_pore^2)*($A44/100))*($A44/100))</f>
        <v>0.166539241771729</v>
      </c>
      <c r="AE44" s="9" t="n">
        <f aca="false">AE$5*(1+A_pore*AE$6*($A44/100))/(1-AE$6*(1+((1-phimax_pore)/phimax_pore^2)*($A44/100))*($A44/100))</f>
        <v>0.181418914745905</v>
      </c>
      <c r="AF44" s="9" t="n">
        <f aca="false">AF$5*(1+A_pore*AF$6*($A44/100))/(1-AF$6*(1+((1-phimax_pore)/phimax_pore^2)*($A44/100))*($A44/100))</f>
        <v>0.200167110042717</v>
      </c>
      <c r="AG44" s="9" t="n">
        <f aca="false">AG$5*(1+A_pore*AG$6*($A44/100))/(1-AG$6*(1+((1-phimax_pore)/phimax_pore^2)*($A44/100))*($A44/100))</f>
        <v>0.224589354854769</v>
      </c>
      <c r="AH44" s="9" t="n">
        <f aca="false">AH$5*(1+A_pore*AH$6*($A44/100))/(1-AH$6*(1+((1-phimax_pore)/phimax_pore^2)*($A44/100))*($A44/100))</f>
        <v>0.257819432267473</v>
      </c>
      <c r="AI44" s="9" t="n">
        <f aca="false">AI$5*(1+A_pore*AI$6*($A44/100))/(1-AI$6*(1+((1-phimax_pore)/phimax_pore^2)*($A44/100))*($A44/100))</f>
        <v>0.305816507675926</v>
      </c>
      <c r="AJ44" s="9" t="n">
        <f aca="false">AJ$5*(1+A_pore*AJ$6*($A44/100))/(1-AJ$6*(1+((1-phimax_pore)/phimax_pore^2)*($A44/100))*($A44/100))</f>
        <v>0.381476496058431</v>
      </c>
      <c r="AK44" s="9" t="n">
        <f aca="false">AK$5*(1+A_pore*AK$6*($A44/100))/(1-AK$6*(1+((1-phimax_pore)/phimax_pore^2)*($A44/100))*($A44/100))</f>
        <v>0.51886960338536</v>
      </c>
    </row>
    <row r="45" customFormat="false" ht="15" hidden="false" customHeight="false" outlineLevel="0" collapsed="false">
      <c r="A45" s="4" t="n">
        <v>36</v>
      </c>
      <c r="B45" s="9" t="n">
        <f aca="false">B$5*(1+A_pore*B$6*($A45/100))/(1-B$6*(1+((1-phimax_pore)/phimax_pore^2)*($A45/100))*($A45/100))</f>
        <v>0.0567408302919708</v>
      </c>
      <c r="C45" s="9" t="n">
        <f aca="false">C$5*(1+A_pore*C$6*($A45/100))/(1-C$6*(1+((1-phimax_pore)/phimax_pore^2)*($A45/100))*($A45/100))</f>
        <v>0.0584810550244036</v>
      </c>
      <c r="D45" s="9" t="n">
        <f aca="false">D$5*(1+A_pore*D$6*($A45/100))/(1-D$6*(1+((1-phimax_pore)/phimax_pore^2)*($A45/100))*($A45/100))</f>
        <v>0.0602216111038236</v>
      </c>
      <c r="E45" s="9" t="n">
        <f aca="false">E$5*(1+A_pore*E$6*($A45/100))/(1-E$6*(1+((1-phimax_pore)/phimax_pore^2)*($A45/100))*($A45/100))</f>
        <v>0.0619710938870741</v>
      </c>
      <c r="F45" s="9" t="n">
        <f aca="false">F$5*(1+A_pore*F$6*($A45/100))/(1-F$6*(1+((1-phimax_pore)/phimax_pore^2)*($A45/100))*($A45/100))</f>
        <v>0.06373798117627</v>
      </c>
      <c r="G45" s="9" t="n">
        <f aca="false">G$5*(1+A_pore*G$6*($A45/100))/(1-G$6*(1+((1-phimax_pore)/phimax_pore^2)*($A45/100))*($A45/100))</f>
        <v>0.0655307994290699</v>
      </c>
      <c r="H45" s="9" t="n">
        <f aca="false">H$5*(1+A_pore*H$6*($A45/100))/(1-H$6*(1+((1-phimax_pore)/phimax_pore^2)*($A45/100))*($A45/100))</f>
        <v>0.0673582870638124</v>
      </c>
      <c r="I45" s="9" t="n">
        <f aca="false">I$5*(1+A_pore*I$6*($A45/100))/(1-I$6*(1+((1-phimax_pore)/phimax_pore^2)*($A45/100))*($A45/100))</f>
        <v>0.0692295615595365</v>
      </c>
      <c r="J45" s="9" t="n">
        <f aca="false">J$5*(1+A_pore*J$6*($A45/100))/(1-J$6*(1+((1-phimax_pore)/phimax_pore^2)*($A45/100))*($A45/100))</f>
        <v>0.0711542971290265</v>
      </c>
      <c r="K45" s="9" t="n">
        <f aca="false">K$5*(1+A_pore*K$6*($A45/100))/(1-K$6*(1+((1-phimax_pore)/phimax_pore^2)*($A45/100))*($A45/100))</f>
        <v>0.0731429202972092</v>
      </c>
      <c r="L45" s="9" t="n">
        <f aca="false">L$5*(1+A_pore*L$6*($A45/100))/(1-L$6*(1+((1-phimax_pore)/phimax_pore^2)*($A45/100))*($A45/100))</f>
        <v>0.0752068317944801</v>
      </c>
      <c r="M45" s="9" t="n">
        <f aca="false">M$5*(1+A_pore*M$6*($A45/100))/(1-M$6*(1+((1-phimax_pore)/phimax_pore^2)*($A45/100))*($A45/100))</f>
        <v>0.0773586648794397</v>
      </c>
      <c r="N45" s="9" t="n">
        <f aca="false">N$5*(1+A_pore*N$6*($A45/100))/(1-N$6*(1+((1-phimax_pore)/phimax_pore^2)*($A45/100))*($A45/100))</f>
        <v>0.0796125927152531</v>
      </c>
      <c r="O45" s="9" t="n">
        <f aca="false">O$5*(1+A_pore*O$6*($A45/100))/(1-O$6*(1+((1-phimax_pore)/phimax_pore^2)*($A45/100))*($A45/100))</f>
        <v>0.0819847010152805</v>
      </c>
      <c r="P45" s="9" t="n">
        <f aca="false">P$5*(1+A_pore*P$6*($A45/100))/(1-P$6*(1+((1-phimax_pore)/phimax_pore^2)*($A45/100))*($A45/100))</f>
        <v>0.0844934472682645</v>
      </c>
      <c r="Q45" s="9" t="n">
        <f aca="false">Q$5*(1+A_pore*Q$6*($A45/100))/(1-Q$6*(1+((1-phimax_pore)/phimax_pore^2)*($A45/100))*($A45/100))</f>
        <v>0.0871602350903399</v>
      </c>
      <c r="R45" s="9" t="n">
        <f aca="false">R$5*(1+A_pore*R$6*($A45/100))/(1-R$6*(1+((1-phimax_pore)/phimax_pore^2)*($A45/100))*($A45/100))</f>
        <v>0.0900101426058311</v>
      </c>
      <c r="S45" s="9" t="n">
        <f aca="false">S$5*(1+A_pore*S$6*($A45/100))/(1-S$6*(1+((1-phimax_pore)/phimax_pore^2)*($A45/100))*($A45/100))</f>
        <v>0.0930728587378921</v>
      </c>
      <c r="T45" s="9" t="n">
        <f aca="false">T$5*(1+A_pore*T$6*($A45/100))/(1-T$6*(1+((1-phimax_pore)/phimax_pore^2)*($A45/100))*($A45/100))</f>
        <v>0.0963839032578187</v>
      </c>
      <c r="U45" s="9" t="n">
        <f aca="false">U$5*(1+A_pore*U$6*($A45/100))/(1-U$6*(1+((1-phimax_pore)/phimax_pore^2)*($A45/100))*($A45/100))</f>
        <v>0.0999862391770161</v>
      </c>
      <c r="V45" s="9" t="n">
        <f aca="false">V$5*(1+A_pore*V$6*($A45/100))/(1-V$6*(1+((1-phimax_pore)/phimax_pore^2)*($A45/100))*($A45/100))</f>
        <v>0.103932435733746</v>
      </c>
      <c r="W45" s="9" t="n">
        <f aca="false">W$5*(1+A_pore*W$6*($A45/100))/(1-W$6*(1+((1-phimax_pore)/phimax_pore^2)*($A45/100))*($A45/100))</f>
        <v>0.108287617122253</v>
      </c>
      <c r="X45" s="9" t="n">
        <f aca="false">X$5*(1+A_pore*X$6*($A45/100))/(1-X$6*(1+((1-phimax_pore)/phimax_pore^2)*($A45/100))*($A45/100))</f>
        <v>0.113133553866851</v>
      </c>
      <c r="Y45" s="9" t="n">
        <f aca="false">Y$5*(1+A_pore*Y$6*($A45/100))/(1-Y$6*(1+((1-phimax_pore)/phimax_pore^2)*($A45/100))*($A45/100))</f>
        <v>0.118574451427134</v>
      </c>
      <c r="Z45" s="9" t="n">
        <f aca="false">Z$5*(1+A_pore*Z$6*($A45/100))/(1-Z$6*(1+((1-phimax_pore)/phimax_pore^2)*($A45/100))*($A45/100))</f>
        <v>0.124745320738978</v>
      </c>
      <c r="AA45" s="9" t="n">
        <f aca="false">AA$5*(1+A_pore*AA$6*($A45/100))/(1-AA$6*(1+((1-phimax_pore)/phimax_pore^2)*($A45/100))*($A45/100))</f>
        <v>0.131824384437968</v>
      </c>
      <c r="AB45" s="9" t="n">
        <f aca="false">AB$5*(1+A_pore*AB$6*($A45/100))/(1-AB$6*(1+((1-phimax_pore)/phimax_pore^2)*($A45/100))*($A45/100))</f>
        <v>0.140051989394709</v>
      </c>
      <c r="AC45" s="9" t="n">
        <f aca="false">AC$5*(1+A_pore*AC$6*($A45/100))/(1-AC$6*(1+((1-phimax_pore)/phimax_pore^2)*($A45/100))*($A45/100))</f>
        <v>0.149760390039403</v>
      </c>
      <c r="AD45" s="9" t="n">
        <f aca="false">AD$5*(1+A_pore*AD$6*($A45/100))/(1-AD$6*(1+((1-phimax_pore)/phimax_pore^2)*($A45/100))*($A45/100))</f>
        <v>0.161422467137882</v>
      </c>
      <c r="AE45" s="9" t="n">
        <f aca="false">AE$5*(1+A_pore*AE$6*($A45/100))/(1-AE$6*(1+((1-phimax_pore)/phimax_pore^2)*($A45/100))*($A45/100))</f>
        <v>0.17573509440389</v>
      </c>
      <c r="AF45" s="9" t="n">
        <f aca="false">AF$5*(1+A_pore*AF$6*($A45/100))/(1-AF$6*(1+((1-phimax_pore)/phimax_pore^2)*($A45/100))*($A45/100))</f>
        <v>0.19376976921661</v>
      </c>
      <c r="AG45" s="9" t="n">
        <f aca="false">AG$5*(1+A_pore*AG$6*($A45/100))/(1-AG$6*(1+((1-phimax_pore)/phimax_pore^2)*($A45/100))*($A45/100))</f>
        <v>0.217263665426931</v>
      </c>
      <c r="AH45" s="9" t="n">
        <f aca="false">AH$5*(1+A_pore*AH$6*($A45/100))/(1-AH$6*(1+((1-phimax_pore)/phimax_pore^2)*($A45/100))*($A45/100))</f>
        <v>0.249231928988536</v>
      </c>
      <c r="AI45" s="9" t="n">
        <f aca="false">AI$5*(1+A_pore*AI$6*($A45/100))/(1-AI$6*(1+((1-phimax_pore)/phimax_pore^2)*($A45/100))*($A45/100))</f>
        <v>0.295408127958266</v>
      </c>
      <c r="AJ45" s="9" t="n">
        <f aca="false">AJ$5*(1+A_pore*AJ$6*($A45/100))/(1-AJ$6*(1+((1-phimax_pore)/phimax_pore^2)*($A45/100))*($A45/100))</f>
        <v>0.368199976529909</v>
      </c>
      <c r="AK45" s="9" t="n">
        <f aca="false">AK$5*(1+A_pore*AK$6*($A45/100))/(1-AK$6*(1+((1-phimax_pore)/phimax_pore^2)*($A45/100))*($A45/100))</f>
        <v>0.500387888549363</v>
      </c>
    </row>
    <row r="46" customFormat="false" ht="15" hidden="false" customHeight="false" outlineLevel="0" collapsed="false">
      <c r="A46" s="4" t="n">
        <v>37</v>
      </c>
      <c r="B46" s="9" t="n">
        <f aca="false">B$5*(1+A_pore*B$6*($A46/100))/(1-B$6*(1+((1-phimax_pore)/phimax_pore^2)*($A46/100))*($A46/100))</f>
        <v>0.0558507936230479</v>
      </c>
      <c r="C46" s="9" t="n">
        <f aca="false">C$5*(1+A_pore*C$6*($A46/100))/(1-C$6*(1+((1-phimax_pore)/phimax_pore^2)*($A46/100))*($A46/100))</f>
        <v>0.0575254684951534</v>
      </c>
      <c r="D46" s="9" t="n">
        <f aca="false">D$5*(1+A_pore*D$6*($A46/100))/(1-D$6*(1+((1-phimax_pore)/phimax_pore^2)*($A46/100))*($A46/100))</f>
        <v>0.0591998688091417</v>
      </c>
      <c r="E46" s="9" t="n">
        <f aca="false">E$5*(1+A_pore*E$6*($A46/100))/(1-E$6*(1+((1-phimax_pore)/phimax_pore^2)*($A46/100))*($A46/100))</f>
        <v>0.0608823745611912</v>
      </c>
      <c r="F46" s="9" t="n">
        <f aca="false">F$5*(1+A_pore*F$6*($A46/100))/(1-F$6*(1+((1-phimax_pore)/phimax_pore^2)*($A46/100))*($A46/100))</f>
        <v>0.0625812321753596</v>
      </c>
      <c r="G46" s="9" t="n">
        <f aca="false">G$5*(1+A_pore*G$6*($A46/100))/(1-G$6*(1+((1-phimax_pore)/phimax_pore^2)*($A46/100))*($A46/100))</f>
        <v>0.0643047186397731</v>
      </c>
      <c r="H46" s="9" t="n">
        <f aca="false">H$5*(1+A_pore*H$6*($A46/100))/(1-H$6*(1+((1-phimax_pore)/phimax_pore^2)*($A46/100))*($A46/100))</f>
        <v>0.0660613019117315</v>
      </c>
      <c r="I46" s="9" t="n">
        <f aca="false">I$5*(1+A_pore*I$6*($A46/100))/(1-I$6*(1+((1-phimax_pore)/phimax_pore^2)*($A46/100))*($A46/100))</f>
        <v>0.0678598042679347</v>
      </c>
      <c r="J46" s="9" t="n">
        <f aca="false">J$5*(1+A_pore*J$6*($A46/100))/(1-J$6*(1+((1-phimax_pore)/phimax_pore^2)*($A46/100))*($A46/100))</f>
        <v>0.0697095752911026</v>
      </c>
      <c r="K46" s="9" t="n">
        <f aca="false">K$5*(1+A_pore*K$6*($A46/100))/(1-K$6*(1+((1-phimax_pore)/phimax_pore^2)*($A46/100))*($A46/100))</f>
        <v>0.0716206816744892</v>
      </c>
      <c r="L46" s="9" t="n">
        <f aca="false">L$5*(1+A_pore*L$6*($A46/100))/(1-L$6*(1+((1-phimax_pore)/phimax_pore^2)*($A46/100))*($A46/100))</f>
        <v>0.0736041220312951</v>
      </c>
      <c r="M46" s="9" t="n">
        <f aca="false">M$5*(1+A_pore*M$6*($A46/100))/(1-M$6*(1+((1-phimax_pore)/phimax_pore^2)*($A46/100))*($A46/100))</f>
        <v>0.0756720765139366</v>
      </c>
      <c r="N46" s="9" t="n">
        <f aca="false">N$5*(1+A_pore*N$6*($A46/100))/(1-N$6*(1+((1-phimax_pore)/phimax_pore^2)*($A46/100))*($A46/100))</f>
        <v>0.0778382034466416</v>
      </c>
      <c r="O46" s="9" t="n">
        <f aca="false">O$5*(1+A_pore*O$6*($A46/100))/(1-O$6*(1+((1-phimax_pore)/phimax_pore^2)*($A46/100))*($A46/100))</f>
        <v>0.0801179986187104</v>
      </c>
      <c r="P46" s="9" t="n">
        <f aca="false">P$5*(1+A_pore*P$6*($A46/100))/(1-P$6*(1+((1-phimax_pore)/phimax_pore^2)*($A46/100))*($A46/100))</f>
        <v>0.0825292377794744</v>
      </c>
      <c r="Q46" s="9" t="n">
        <f aca="false">Q$5*(1+A_pore*Q$6*($A46/100))/(1-Q$6*(1+((1-phimax_pore)/phimax_pore^2)*($A46/100))*($A46/100))</f>
        <v>0.0850925298337858</v>
      </c>
      <c r="R46" s="9" t="n">
        <f aca="false">R$5*(1+A_pore*R$6*($A46/100))/(1-R$6*(1+((1-phimax_pore)/phimax_pore^2)*($A46/100))*($A46/100))</f>
        <v>0.0878320181968733</v>
      </c>
      <c r="S46" s="9" t="n">
        <f aca="false">S$5*(1+A_pore*S$6*($A46/100))/(1-S$6*(1+((1-phimax_pore)/phimax_pore^2)*($A46/100))*($A46/100))</f>
        <v>0.0907762821792201</v>
      </c>
      <c r="T46" s="9" t="n">
        <f aca="false">T$5*(1+A_pore*T$6*($A46/100))/(1-T$6*(1+((1-phimax_pore)/phimax_pore^2)*($A46/100))*($A46/100))</f>
        <v>0.0939595114108202</v>
      </c>
      <c r="U46" s="9" t="n">
        <f aca="false">U$5*(1+A_pore*U$6*($A46/100))/(1-U$6*(1+((1-phimax_pore)/phimax_pore^2)*($A46/100))*($A46/100))</f>
        <v>0.0974230578161833</v>
      </c>
      <c r="V46" s="9" t="n">
        <f aca="false">V$5*(1+A_pore*V$6*($A46/100))/(1-V$6*(1+((1-phimax_pore)/phimax_pore^2)*($A46/100))*($A46/100))</f>
        <v>0.101217517450408</v>
      </c>
      <c r="W46" s="9" t="n">
        <f aca="false">W$5*(1+A_pore*W$6*($A46/100))/(1-W$6*(1+((1-phimax_pore)/phimax_pore^2)*($A46/100))*($A46/100))</f>
        <v>0.105405568509736</v>
      </c>
      <c r="X46" s="9" t="n">
        <f aca="false">X$5*(1+A_pore*X$6*($A46/100))/(1-X$6*(1+((1-phimax_pore)/phimax_pore^2)*($A46/100))*($A46/100))</f>
        <v>0.110065909006448</v>
      </c>
      <c r="Y46" s="9" t="n">
        <f aca="false">Y$5*(1+A_pore*Y$6*($A46/100))/(1-Y$6*(1+((1-phimax_pore)/phimax_pore^2)*($A46/100))*($A46/100))</f>
        <v>0.115298827848729</v>
      </c>
      <c r="Z46" s="9" t="n">
        <f aca="false">Z$5*(1+A_pore*Z$6*($A46/100))/(1-Z$6*(1+((1-phimax_pore)/phimax_pore^2)*($A46/100))*($A46/100))</f>
        <v>0.121234260773176</v>
      </c>
      <c r="AA46" s="9" t="n">
        <f aca="false">AA$5*(1+A_pore*AA$6*($A46/100))/(1-AA$6*(1+((1-phimax_pore)/phimax_pore^2)*($A46/100))*($A46/100))</f>
        <v>0.128043730225993</v>
      </c>
      <c r="AB46" s="9" t="n">
        <f aca="false">AB$5*(1+A_pore*AB$6*($A46/100))/(1-AB$6*(1+((1-phimax_pore)/phimax_pore^2)*($A46/100))*($A46/100))</f>
        <v>0.135958546941823</v>
      </c>
      <c r="AC46" s="9" t="n">
        <f aca="false">AC$5*(1+A_pore*AC$6*($A46/100))/(1-AC$6*(1+((1-phimax_pore)/phimax_pore^2)*($A46/100))*($A46/100))</f>
        <v>0.145298473617987</v>
      </c>
      <c r="AD46" s="9" t="n">
        <f aca="false">AD$5*(1+A_pore*AD$6*($A46/100))/(1-AD$6*(1+((1-phimax_pore)/phimax_pore^2)*($A46/100))*($A46/100))</f>
        <v>0.156518612158921</v>
      </c>
      <c r="AE46" s="9" t="n">
        <f aca="false">AE$5*(1+A_pore*AE$6*($A46/100))/(1-AE$6*(1+((1-phimax_pore)/phimax_pore^2)*($A46/100))*($A46/100))</f>
        <v>0.170289636173844</v>
      </c>
      <c r="AF46" s="9" t="n">
        <f aca="false">AF$5*(1+A_pore*AF$6*($A46/100))/(1-AF$6*(1+((1-phimax_pore)/phimax_pore^2)*($A46/100))*($A46/100))</f>
        <v>0.187642758797596</v>
      </c>
      <c r="AG46" s="9" t="n">
        <f aca="false">AG$5*(1+A_pore*AG$6*($A46/100))/(1-AG$6*(1+((1-phimax_pore)/phimax_pore^2)*($A46/100))*($A46/100))</f>
        <v>0.210249843463893</v>
      </c>
      <c r="AH46" s="9" t="n">
        <f aca="false">AH$5*(1+A_pore*AH$6*($A46/100))/(1-AH$6*(1+((1-phimax_pore)/phimax_pore^2)*($A46/100))*($A46/100))</f>
        <v>0.241012680459913</v>
      </c>
      <c r="AI46" s="9" t="n">
        <f aca="false">AI$5*(1+A_pore*AI$6*($A46/100))/(1-AI$6*(1+((1-phimax_pore)/phimax_pore^2)*($A46/100))*($A46/100))</f>
        <v>0.28544928360156</v>
      </c>
      <c r="AJ46" s="9" t="n">
        <f aca="false">AJ$5*(1+A_pore*AJ$6*($A46/100))/(1-AJ$6*(1+((1-phimax_pore)/phimax_pore^2)*($A46/100))*($A46/100))</f>
        <v>0.355500899875755</v>
      </c>
      <c r="AK46" s="9" t="n">
        <f aca="false">AK$5*(1+A_pore*AK$6*($A46/100))/(1-AK$6*(1+((1-phimax_pore)/phimax_pore^2)*($A46/100))*($A46/100))</f>
        <v>0.482715569459607</v>
      </c>
    </row>
    <row r="47" customFormat="false" ht="15" hidden="false" customHeight="false" outlineLevel="0" collapsed="false">
      <c r="A47" s="4" t="n">
        <v>38</v>
      </c>
      <c r="B47" s="9" t="n">
        <f aca="false">B$5*(1+A_pore*B$6*($A47/100))/(1-B$6*(1+((1-phimax_pore)/phimax_pore^2)*($A47/100))*($A47/100))</f>
        <v>0.0549841997857459</v>
      </c>
      <c r="C47" s="9" t="n">
        <f aca="false">C$5*(1+A_pore*C$6*($A47/100))/(1-C$6*(1+((1-phimax_pore)/phimax_pore^2)*($A47/100))*($A47/100))</f>
        <v>0.0565959388097015</v>
      </c>
      <c r="D47" s="9" t="n">
        <f aca="false">D$5*(1+A_pore*D$6*($A47/100))/(1-D$6*(1+((1-phimax_pore)/phimax_pore^2)*($A47/100))*($A47/100))</f>
        <v>0.0582068746452863</v>
      </c>
      <c r="E47" s="9" t="n">
        <f aca="false">E$5*(1+A_pore*E$6*($A47/100))/(1-E$6*(1+((1-phimax_pore)/phimax_pore^2)*($A47/100))*($A47/100))</f>
        <v>0.0598251746377426</v>
      </c>
      <c r="F47" s="9" t="n">
        <f aca="false">F$5*(1+A_pore*F$6*($A47/100))/(1-F$6*(1+((1-phimax_pore)/phimax_pore^2)*($A47/100))*($A47/100))</f>
        <v>0.0614588582014626</v>
      </c>
      <c r="G47" s="9" t="n">
        <f aca="false">G$5*(1+A_pore*G$6*($A47/100))/(1-G$6*(1+((1-phimax_pore)/phimax_pore^2)*($A47/100))*($A47/100))</f>
        <v>0.0631159588279431</v>
      </c>
      <c r="H47" s="9" t="n">
        <f aca="false">H$5*(1+A_pore*H$6*($A47/100))/(1-H$6*(1+((1-phimax_pore)/phimax_pore^2)*($A47/100))*($A47/100))</f>
        <v>0.0648046815946311</v>
      </c>
      <c r="I47" s="9" t="n">
        <f aca="false">I$5*(1+A_pore*I$6*($A47/100))/(1-I$6*(1+((1-phimax_pore)/phimax_pore^2)*($A47/100))*($A47/100))</f>
        <v>0.0665335628251224</v>
      </c>
      <c r="J47" s="9" t="n">
        <f aca="false">J$5*(1+A_pore*J$6*($A47/100))/(1-J$6*(1+((1-phimax_pore)/phimax_pore^2)*($A47/100))*($A47/100))</f>
        <v>0.0683116385061141</v>
      </c>
      <c r="K47" s="9" t="n">
        <f aca="false">K$5*(1+A_pore*K$6*($A47/100))/(1-K$6*(1+((1-phimax_pore)/phimax_pore^2)*($A47/100))*($A47/100))</f>
        <v>0.0701486284958658</v>
      </c>
      <c r="L47" s="9" t="n">
        <f aca="false">L$5*(1+A_pore*L$6*($A47/100))/(1-L$6*(1+((1-phimax_pore)/phimax_pore^2)*($A47/100))*($A47/100))</f>
        <v>0.0720551444961282</v>
      </c>
      <c r="M47" s="9" t="n">
        <f aca="false">M$5*(1+A_pore*M$6*($A47/100))/(1-M$6*(1+((1-phimax_pore)/phimax_pore^2)*($A47/100))*($A47/100))</f>
        <v>0.0740429312946028</v>
      </c>
      <c r="N47" s="9" t="n">
        <f aca="false">N$5*(1+A_pore*N$6*($A47/100))/(1-N$6*(1+((1-phimax_pore)/phimax_pore^2)*($A47/100))*($A47/100))</f>
        <v>0.0761251530774222</v>
      </c>
      <c r="O47" s="9" t="n">
        <f aca="false">O$5*(1+A_pore*O$6*($A47/100))/(1-O$6*(1+((1-phimax_pore)/phimax_pore^2)*($A47/100))*($A47/100))</f>
        <v>0.0783167399141148</v>
      </c>
      <c r="P47" s="9" t="n">
        <f aca="false">P$5*(1+A_pore*P$6*($A47/100))/(1-P$6*(1+((1-phimax_pore)/phimax_pore^2)*($A47/100))*($A47/100))</f>
        <v>0.0806348142192405</v>
      </c>
      <c r="Q47" s="9" t="n">
        <f aca="false">Q$5*(1+A_pore*Q$6*($A47/100))/(1-Q$6*(1+((1-phimax_pore)/phimax_pore^2)*($A47/100))*($A47/100))</f>
        <v>0.0830992236858423</v>
      </c>
      <c r="R47" s="9" t="n">
        <f aca="false">R$5*(1+A_pore*R$6*($A47/100))/(1-R$6*(1+((1-phimax_pore)/phimax_pore^2)*($A47/100))*($A47/100))</f>
        <v>0.0857332167685115</v>
      </c>
      <c r="S47" s="9" t="n">
        <f aca="false">S$5*(1+A_pore*S$6*($A47/100))/(1-S$6*(1+((1-phimax_pore)/phimax_pore^2)*($A47/100))*($A47/100))</f>
        <v>0.0885643106632435</v>
      </c>
      <c r="T47" s="9" t="n">
        <f aca="false">T$5*(1+A_pore*T$6*($A47/100))/(1-T$6*(1+((1-phimax_pore)/phimax_pore^2)*($A47/100))*($A47/100))</f>
        <v>0.0916254220771104</v>
      </c>
      <c r="U47" s="9" t="n">
        <f aca="false">U$5*(1+A_pore*U$6*($A47/100))/(1-U$6*(1+((1-phimax_pore)/phimax_pore^2)*($A47/100))*($A47/100))</f>
        <v>0.0949563614034392</v>
      </c>
      <c r="V47" s="9" t="n">
        <f aca="false">V$5*(1+A_pore*V$6*($A47/100))/(1-V$6*(1+((1-phimax_pore)/phimax_pore^2)*($A47/100))*($A47/100))</f>
        <v>0.0986058369294292</v>
      </c>
      <c r="W47" s="9" t="n">
        <f aca="false">W$5*(1+A_pore*W$6*($A47/100))/(1-W$6*(1+((1-phimax_pore)/phimax_pore^2)*($A47/100))*($A47/100))</f>
        <v>0.102634186939886</v>
      </c>
      <c r="X47" s="9" t="n">
        <f aca="false">X$5*(1+A_pore*X$6*($A47/100))/(1-X$6*(1+((1-phimax_pore)/phimax_pore^2)*($A47/100))*($A47/100))</f>
        <v>0.107117170378122</v>
      </c>
      <c r="Y47" s="9" t="n">
        <f aca="false">Y$5*(1+A_pore*Y$6*($A47/100))/(1-Y$6*(1+((1-phimax_pore)/phimax_pore^2)*($A47/100))*($A47/100))</f>
        <v>0.112151329866807</v>
      </c>
      <c r="Z47" s="9" t="n">
        <f aca="false">Z$5*(1+A_pore*Z$6*($A47/100))/(1-Z$6*(1+((1-phimax_pore)/phimax_pore^2)*($A47/100))*($A47/100))</f>
        <v>0.117861746727697</v>
      </c>
      <c r="AA47" s="9" t="n">
        <f aca="false">AA$5*(1+A_pore*AA$6*($A47/100))/(1-AA$6*(1+((1-phimax_pore)/phimax_pore^2)*($A47/100))*($A47/100))</f>
        <v>0.1244135348258</v>
      </c>
      <c r="AB47" s="9" t="n">
        <f aca="false">AB$5*(1+A_pore*AB$6*($A47/100))/(1-AB$6*(1+((1-phimax_pore)/phimax_pore^2)*($A47/100))*($A47/100))</f>
        <v>0.132029362151536</v>
      </c>
      <c r="AC47" s="9" t="n">
        <f aca="false">AC$5*(1+A_pore*AC$6*($A47/100))/(1-AC$6*(1+((1-phimax_pore)/phimax_pore^2)*($A47/100))*($A47/100))</f>
        <v>0.141017043605187</v>
      </c>
      <c r="AD47" s="9" t="n">
        <f aca="false">AD$5*(1+A_pore*AD$6*($A47/100))/(1-AD$6*(1+((1-phimax_pore)/phimax_pore^2)*($A47/100))*($A47/100))</f>
        <v>0.151814676475812</v>
      </c>
      <c r="AE47" s="9" t="n">
        <f aca="false">AE$5*(1+A_pore*AE$6*($A47/100))/(1-AE$6*(1+((1-phimax_pore)/phimax_pore^2)*($A47/100))*($A47/100))</f>
        <v>0.165067875322909</v>
      </c>
      <c r="AF47" s="9" t="n">
        <f aca="false">AF$5*(1+A_pore*AF$6*($A47/100))/(1-AF$6*(1+((1-phimax_pore)/phimax_pore^2)*($A47/100))*($A47/100))</f>
        <v>0.181769323536909</v>
      </c>
      <c r="AG47" s="9" t="n">
        <f aca="false">AG$5*(1+A_pore*AG$6*($A47/100))/(1-AG$6*(1+((1-phimax_pore)/phimax_pore^2)*($A47/100))*($A47/100))</f>
        <v>0.203528418640904</v>
      </c>
      <c r="AH47" s="9" t="n">
        <f aca="false">AH$5*(1+A_pore*AH$6*($A47/100))/(1-AH$6*(1+((1-phimax_pore)/phimax_pore^2)*($A47/100))*($A47/100))</f>
        <v>0.23313853232779</v>
      </c>
      <c r="AI47" s="9" t="n">
        <f aca="false">AI$5*(1+A_pore*AI$6*($A47/100))/(1-AI$6*(1+((1-phimax_pore)/phimax_pore^2)*($A47/100))*($A47/100))</f>
        <v>0.275911512374542</v>
      </c>
      <c r="AJ47" s="9" t="n">
        <f aca="false">AJ$5*(1+A_pore*AJ$6*($A47/100))/(1-AJ$6*(1+((1-phimax_pore)/phimax_pore^2)*($A47/100))*($A47/100))</f>
        <v>0.343342454920428</v>
      </c>
      <c r="AK47" s="9" t="n">
        <f aca="false">AK$5*(1+A_pore*AK$6*($A47/100))/(1-AK$6*(1+((1-phimax_pore)/phimax_pore^2)*($A47/100))*($A47/100))</f>
        <v>0.46580070074559</v>
      </c>
    </row>
    <row r="48" customFormat="false" ht="15" hidden="false" customHeight="false" outlineLevel="0" collapsed="false">
      <c r="A48" s="4" t="n">
        <v>39</v>
      </c>
      <c r="B48" s="9" t="n">
        <f aca="false">B$5*(1+A_pore*B$6*($A48/100))/(1-B$6*(1+((1-phimax_pore)/phimax_pore^2)*($A48/100))*($A48/100))</f>
        <v>0.0541401356499683</v>
      </c>
      <c r="C48" s="9" t="n">
        <f aca="false">C$5*(1+A_pore*C$6*($A48/100))/(1-C$6*(1+((1-phimax_pore)/phimax_pore^2)*($A48/100))*($A48/100))</f>
        <v>0.0556914157079573</v>
      </c>
      <c r="D48" s="9" t="n">
        <f aca="false">D$5*(1+A_pore*D$6*($A48/100))/(1-D$6*(1+((1-phimax_pore)/phimax_pore^2)*($A48/100))*($A48/100))</f>
        <v>0.0572414334808966</v>
      </c>
      <c r="E48" s="9" t="n">
        <f aca="false">E$5*(1+A_pore*E$6*($A48/100))/(1-E$6*(1+((1-phimax_pore)/phimax_pore^2)*($A48/100))*($A48/100))</f>
        <v>0.0587981463867632</v>
      </c>
      <c r="F48" s="9" t="n">
        <f aca="false">F$5*(1+A_pore*F$6*($A48/100))/(1-F$6*(1+((1-phimax_pore)/phimax_pore^2)*($A48/100))*($A48/100))</f>
        <v>0.0603693511048873</v>
      </c>
      <c r="G48" s="9" t="n">
        <f aca="false">G$5*(1+A_pore*G$6*($A48/100))/(1-G$6*(1+((1-phimax_pore)/phimax_pore^2)*($A48/100))*($A48/100))</f>
        <v>0.0619628434004436</v>
      </c>
      <c r="H48" s="9" t="n">
        <f aca="false">H$5*(1+A_pore*H$6*($A48/100))/(1-H$6*(1+((1-phimax_pore)/phimax_pore^2)*($A48/100))*($A48/100))</f>
        <v>0.0635865727378501</v>
      </c>
      <c r="I48" s="9" t="n">
        <f aca="false">I$5*(1+A_pore*I$6*($A48/100))/(1-I$6*(1+((1-phimax_pore)/phimax_pore^2)*($A48/100))*($A48/100))</f>
        <v>0.0652487983053974</v>
      </c>
      <c r="J48" s="9" t="n">
        <f aca="false">J$5*(1+A_pore*J$6*($A48/100))/(1-J$6*(1+((1-phimax_pore)/phimax_pore^2)*($A48/100))*($A48/100))</f>
        <v>0.0669582529711762</v>
      </c>
      <c r="K48" s="9" t="n">
        <f aca="false">K$5*(1+A_pore*K$6*($A48/100))/(1-K$6*(1+((1-phimax_pore)/phimax_pore^2)*($A48/100))*($A48/100))</f>
        <v>0.0687243220618458</v>
      </c>
      <c r="L48" s="9" t="n">
        <f aca="false">L$5*(1+A_pore*L$6*($A48/100))/(1-L$6*(1+((1-phimax_pore)/phimax_pore^2)*($A48/100))*($A48/100))</f>
        <v>0.0705572447280141</v>
      </c>
      <c r="M48" s="9" t="n">
        <f aca="false">M$5*(1+A_pore*M$6*($A48/100))/(1-M$6*(1+((1-phimax_pore)/phimax_pore^2)*($A48/100))*($A48/100))</f>
        <v>0.072468347116148</v>
      </c>
      <c r="N48" s="9" t="n">
        <f aca="false">N$5*(1+A_pore*N$6*($A48/100))/(1-N$6*(1+((1-phimax_pore)/phimax_pore^2)*($A48/100))*($A48/100))</f>
        <v>0.0744703187581239</v>
      </c>
      <c r="O48" s="9" t="n">
        <f aca="false">O$5*(1+A_pore*O$6*($A48/100))/(1-O$6*(1+((1-phimax_pore)/phimax_pore^2)*($A48/100))*($A48/100))</f>
        <v>0.0765775467578871</v>
      </c>
      <c r="P48" s="9" t="n">
        <f aca="false">P$5*(1+A_pore*P$6*($A48/100))/(1-P$6*(1+((1-phimax_pore)/phimax_pore^2)*($A48/100))*($A48/100))</f>
        <v>0.0788065268728541</v>
      </c>
      <c r="Q48" s="9" t="n">
        <f aca="false">Q$5*(1+A_pore*Q$6*($A48/100))/(1-Q$6*(1+((1-phimax_pore)/phimax_pore^2)*($A48/100))*($A48/100))</f>
        <v>0.0811763770233771</v>
      </c>
      <c r="R48" s="9" t="n">
        <f aca="false">R$5*(1+A_pore*R$6*($A48/100))/(1-R$6*(1+((1-phimax_pore)/phimax_pore^2)*($A48/100))*($A48/100))</f>
        <v>0.0837094879851426</v>
      </c>
      <c r="S48" s="9" t="n">
        <f aca="false">S$5*(1+A_pore*S$6*($A48/100))/(1-S$6*(1+((1-phimax_pore)/phimax_pore^2)*($A48/100))*($A48/100))</f>
        <v>0.0864323593695658</v>
      </c>
      <c r="T48" s="9" t="n">
        <f aca="false">T$5*(1+A_pore*T$6*($A48/100))/(1-T$6*(1+((1-phimax_pore)/phimax_pore^2)*($A48/100))*($A48/100))</f>
        <v>0.0893766885841502</v>
      </c>
      <c r="U48" s="9" t="n">
        <f aca="false">U$5*(1+A_pore*U$6*($A48/100))/(1-U$6*(1+((1-phimax_pore)/phimax_pore^2)*($A48/100))*($A48/100))</f>
        <v>0.0925808096584631</v>
      </c>
      <c r="V48" s="9" t="n">
        <f aca="false">V$5*(1+A_pore*V$6*($A48/100))/(1-V$6*(1+((1-phimax_pore)/phimax_pore^2)*($A48/100))*($A48/100))</f>
        <v>0.0960916231211933</v>
      </c>
      <c r="W48" s="9" t="n">
        <f aca="false">W$5*(1+A_pore*W$6*($A48/100))/(1-W$6*(1+((1-phimax_pore)/phimax_pore^2)*($A48/100))*($A48/100))</f>
        <v>0.0999672267021546</v>
      </c>
      <c r="X48" s="9" t="n">
        <f aca="false">X$5*(1+A_pore*X$6*($A48/100))/(1-X$6*(1+((1-phimax_pore)/phimax_pore^2)*($A48/100))*($A48/100))</f>
        <v>0.104280565238121</v>
      </c>
      <c r="Y48" s="9" t="n">
        <f aca="false">Y$5*(1+A_pore*Y$6*($A48/100))/(1-Y$6*(1+((1-phimax_pore)/phimax_pore^2)*($A48/100))*($A48/100))</f>
        <v>0.109124594497169</v>
      </c>
      <c r="Z48" s="9" t="n">
        <f aca="false">Z$5*(1+A_pore*Z$6*($A48/100))/(1-Z$6*(1+((1-phimax_pore)/phimax_pore^2)*($A48/100))*($A48/100))</f>
        <v>0.1146197481076</v>
      </c>
      <c r="AA48" s="9" t="n">
        <f aca="false">AA$5*(1+A_pore*AA$6*($A48/100))/(1-AA$6*(1+((1-phimax_pore)/phimax_pore^2)*($A48/100))*($A48/100))</f>
        <v>0.120925004374634</v>
      </c>
      <c r="AB48" s="9" t="n">
        <f aca="false">AB$5*(1+A_pore*AB$6*($A48/100))/(1-AB$6*(1+((1-phimax_pore)/phimax_pore^2)*($A48/100))*($A48/100))</f>
        <v>0.128254756850051</v>
      </c>
      <c r="AC48" s="9" t="n">
        <f aca="false">AC$5*(1+A_pore*AC$6*($A48/100))/(1-AC$6*(1+((1-phimax_pore)/phimax_pore^2)*($A48/100))*($A48/100))</f>
        <v>0.136905381875661</v>
      </c>
      <c r="AD48" s="9" t="n">
        <f aca="false">AD$5*(1+A_pore*AD$6*($A48/100))/(1-AD$6*(1+((1-phimax_pore)/phimax_pore^2)*($A48/100))*($A48/100))</f>
        <v>0.14729869697215</v>
      </c>
      <c r="AE48" s="9" t="n">
        <f aca="false">AE$5*(1+A_pore*AE$6*($A48/100))/(1-AE$6*(1+((1-phimax_pore)/phimax_pore^2)*($A48/100))*($A48/100))</f>
        <v>0.160056325891987</v>
      </c>
      <c r="AF48" s="9" t="n">
        <f aca="false">AF$5*(1+A_pore*AF$6*($A48/100))/(1-AF$6*(1+((1-phimax_pore)/phimax_pore^2)*($A48/100))*($A48/100))</f>
        <v>0.176134064815356</v>
      </c>
      <c r="AG48" s="9" t="n">
        <f aca="false">AG$5*(1+A_pore*AG$6*($A48/100))/(1-AG$6*(1+((1-phimax_pore)/phimax_pore^2)*($A48/100))*($A48/100))</f>
        <v>0.197081508327099</v>
      </c>
      <c r="AH48" s="9" t="n">
        <f aca="false">AH$5*(1+A_pore*AH$6*($A48/100))/(1-AH$6*(1+((1-phimax_pore)/phimax_pore^2)*($A48/100))*($A48/100))</f>
        <v>0.225588231510802</v>
      </c>
      <c r="AI48" s="9" t="n">
        <f aca="false">AI$5*(1+A_pore*AI$6*($A48/100))/(1-AI$6*(1+((1-phimax_pore)/phimax_pore^2)*($A48/100))*($A48/100))</f>
        <v>0.266768705139239</v>
      </c>
      <c r="AJ48" s="9" t="n">
        <f aca="false">AJ$5*(1+A_pore*AJ$6*($A48/100))/(1-AJ$6*(1+((1-phimax_pore)/phimax_pore^2)*($A48/100))*($A48/100))</f>
        <v>0.331690894242615</v>
      </c>
      <c r="AK48" s="9" t="n">
        <f aca="false">AK$5*(1+A_pore*AK$6*($A48/100))/(1-AK$6*(1+((1-phimax_pore)/phimax_pore^2)*($A48/100))*($A48/100))</f>
        <v>0.449595688902175</v>
      </c>
    </row>
    <row r="49" customFormat="false" ht="15" hidden="false" customHeight="false" outlineLevel="0" collapsed="false">
      <c r="A49" s="4" t="n">
        <v>40</v>
      </c>
      <c r="B49" s="9" t="n">
        <f aca="false">B$5*(1+A_pore*B$6*($A49/100))/(1-B$6*(1+((1-phimax_pore)/phimax_pore^2)*($A49/100))*($A49/100))</f>
        <v>0.0533177349009065</v>
      </c>
      <c r="C49" s="9" t="n">
        <f aca="false">C$5*(1+A_pore*C$6*($A49/100))/(1-C$6*(1+((1-phimax_pore)/phimax_pore^2)*($A49/100))*($A49/100))</f>
        <v>0.0548109046241488</v>
      </c>
      <c r="D49" s="9" t="n">
        <f aca="false">D$5*(1+A_pore*D$6*($A49/100))/(1-D$6*(1+((1-phimax_pore)/phimax_pore^2)*($A49/100))*($A49/100))</f>
        <v>0.0563024155247372</v>
      </c>
      <c r="E49" s="9" t="n">
        <f aca="false">E$5*(1+A_pore*E$6*($A49/100))/(1-E$6*(1+((1-phimax_pore)/phimax_pore^2)*($A49/100))*($A49/100))</f>
        <v>0.0578000178342532</v>
      </c>
      <c r="F49" s="9" t="n">
        <f aca="false">F$5*(1+A_pore*F$6*($A49/100))/(1-F$6*(1+((1-phimax_pore)/phimax_pore^2)*($A49/100))*($A49/100))</f>
        <v>0.0593112896872064</v>
      </c>
      <c r="G49" s="9" t="n">
        <f aca="false">G$5*(1+A_pore*G$6*($A49/100))/(1-G$6*(1+((1-phimax_pore)/phimax_pore^2)*($A49/100))*($A49/100))</f>
        <v>0.0608437947065884</v>
      </c>
      <c r="H49" s="9" t="n">
        <f aca="false">H$5*(1+A_pore*H$6*($A49/100))/(1-H$6*(1+((1-phimax_pore)/phimax_pore^2)*($A49/100))*($A49/100))</f>
        <v>0.0624052337204909</v>
      </c>
      <c r="I49" s="9" t="n">
        <f aca="false">I$5*(1+A_pore*I$6*($A49/100))/(1-I$6*(1+((1-phimax_pore)/phimax_pore^2)*($A49/100))*($A49/100))</f>
        <v>0.0640035972012071</v>
      </c>
      <c r="J49" s="9" t="n">
        <f aca="false">J$5*(1+A_pore*J$6*($A49/100))/(1-J$6*(1+((1-phimax_pore)/phimax_pore^2)*($A49/100))*($A49/100))</f>
        <v>0.0656473248616754</v>
      </c>
      <c r="K49" s="9" t="n">
        <f aca="false">K$5*(1+A_pore*K$6*($A49/100))/(1-K$6*(1+((1-phimax_pore)/phimax_pore^2)*($A49/100))*($A49/100))</f>
        <v>0.0673454791606631</v>
      </c>
      <c r="L49" s="9" t="n">
        <f aca="false">L$5*(1+A_pore*L$6*($A49/100))/(1-L$6*(1+((1-phimax_pore)/phimax_pore^2)*($A49/100))*($A49/100))</f>
        <v>0.0691079402785225</v>
      </c>
      <c r="M49" s="9" t="n">
        <f aca="false">M$5*(1+A_pore*M$6*($A49/100))/(1-M$6*(1+((1-phimax_pore)/phimax_pore^2)*($A49/100))*($A49/100))</f>
        <v>0.0709456315062647</v>
      </c>
      <c r="N49" s="9" t="n">
        <f aca="false">N$5*(1+A_pore*N$6*($A49/100))/(1-N$6*(1+((1-phimax_pore)/phimax_pore^2)*($A49/100))*($A49/100))</f>
        <v>0.0728707860852185</v>
      </c>
      <c r="O49" s="9" t="n">
        <f aca="false">O$5*(1+A_pore*O$6*($A49/100))/(1-O$6*(1+((1-phimax_pore)/phimax_pore^2)*($A49/100))*($A49/100))</f>
        <v>0.0748972695742113</v>
      </c>
      <c r="P49" s="9" t="n">
        <f aca="false">P$5*(1+A_pore*P$6*($A49/100))/(1-P$6*(1+((1-phimax_pore)/phimax_pore^2)*($A49/100))*($A49/100))</f>
        <v>0.077040976163722</v>
      </c>
      <c r="Q49" s="9" t="n">
        <f aca="false">Q$5*(1+A_pore*Q$6*($A49/100))/(1-Q$6*(1+((1-phimax_pore)/phimax_pore^2)*($A49/100))*($A49/100))</f>
        <v>0.0793203235477218</v>
      </c>
      <c r="R49" s="9" t="n">
        <f aca="false">R$5*(1+A_pore*R$6*($A49/100))/(1-R$6*(1+((1-phimax_pore)/phimax_pore^2)*($A49/100))*($A49/100))</f>
        <v>0.0817568798396162</v>
      </c>
      <c r="S49" s="9" t="n">
        <f aca="false">S$5*(1+A_pore*S$6*($A49/100))/(1-S$6*(1+((1-phimax_pore)/phimax_pore^2)*($A49/100))*($A49/100))</f>
        <v>0.0843761688715062</v>
      </c>
      <c r="T49" s="9" t="n">
        <f aca="false">T$5*(1+A_pore*T$6*($A49/100))/(1-T$6*(1+((1-phimax_pore)/phimax_pore^2)*($A49/100))*($A49/100))</f>
        <v>0.0872087190757513</v>
      </c>
      <c r="U49" s="9" t="n">
        <f aca="false">U$5*(1+A_pore*U$6*($A49/100))/(1-U$6*(1+((1-phimax_pore)/phimax_pore^2)*($A49/100))*($A49/100))</f>
        <v>0.0902914492597306</v>
      </c>
      <c r="V49" s="9" t="n">
        <f aca="false">V$5*(1+A_pore*V$6*($A49/100))/(1-V$6*(1+((1-phimax_pore)/phimax_pore^2)*($A49/100))*($A49/100))</f>
        <v>0.0936695272446113</v>
      </c>
      <c r="W49" s="9" t="n">
        <f aca="false">W$5*(1+A_pore*W$6*($A49/100))/(1-W$6*(1+((1-phimax_pore)/phimax_pore^2)*($A49/100))*($A49/100))</f>
        <v>0.0973989033895969</v>
      </c>
      <c r="X49" s="9" t="n">
        <f aca="false">X$5*(1+A_pore*X$6*($A49/100))/(1-X$6*(1+((1-phimax_pore)/phimax_pore^2)*($A49/100))*($A49/100))</f>
        <v>0.101549825610867</v>
      </c>
      <c r="Y49" s="9" t="n">
        <f aca="false">Y$5*(1+A_pore*Y$6*($A49/100))/(1-Y$6*(1+((1-phimax_pore)/phimax_pore^2)*($A49/100))*($A49/100))</f>
        <v>0.106211812318439</v>
      </c>
      <c r="Z49" s="9" t="n">
        <f aca="false">Z$5*(1+A_pore*Z$6*($A49/100))/(1-Z$6*(1+((1-phimax_pore)/phimax_pore^2)*($A49/100))*($A49/100))</f>
        <v>0.111500843275257</v>
      </c>
      <c r="AA49" s="9" t="n">
        <f aca="false">AA$5*(1+A_pore*AA$6*($A49/100))/(1-AA$6*(1+((1-phimax_pore)/phimax_pore^2)*($A49/100))*($A49/100))</f>
        <v>0.11757001720831</v>
      </c>
      <c r="AB49" s="9" t="n">
        <f aca="false">AB$5*(1+A_pore*AB$6*($A49/100))/(1-AB$6*(1+((1-phimax_pore)/phimax_pore^2)*($A49/100))*($A49/100))</f>
        <v>0.124625798538871</v>
      </c>
      <c r="AC49" s="9" t="n">
        <f aca="false">AC$5*(1+A_pore*AC$6*($A49/100))/(1-AC$6*(1+((1-phimax_pore)/phimax_pore^2)*($A49/100))*($A49/100))</f>
        <v>0.132953602481287</v>
      </c>
      <c r="AD49" s="9" t="n">
        <f aca="false">AD$5*(1+A_pore*AD$6*($A49/100))/(1-AD$6*(1+((1-phimax_pore)/phimax_pore^2)*($A49/100))*($A49/100))</f>
        <v>0.142959646350798</v>
      </c>
      <c r="AE49" s="9" t="n">
        <f aca="false">AE$5*(1+A_pore*AE$6*($A49/100))/(1-AE$6*(1+((1-phimax_pore)/phimax_pore^2)*($A49/100))*($A49/100))</f>
        <v>0.155242564589391</v>
      </c>
      <c r="AF49" s="9" t="n">
        <f aca="false">AF$5*(1+A_pore*AF$6*($A49/100))/(1-AF$6*(1+((1-phimax_pore)/phimax_pore^2)*($A49/100))*($A49/100))</f>
        <v>0.170722806063927</v>
      </c>
      <c r="AG49" s="9" t="n">
        <f aca="false">AG$5*(1+A_pore*AG$6*($A49/100))/(1-AG$6*(1+((1-phimax_pore)/phimax_pore^2)*($A49/100))*($A49/100))</f>
        <v>0.190892658984535</v>
      </c>
      <c r="AH49" s="9" t="n">
        <f aca="false">AH$5*(1+A_pore*AH$6*($A49/100))/(1-AH$6*(1+((1-phimax_pore)/phimax_pore^2)*($A49/100))*($A49/100))</f>
        <v>0.218342234976644</v>
      </c>
      <c r="AI49" s="9" t="n">
        <f aca="false">AI$5*(1+A_pore*AI$6*($A49/100))/(1-AI$6*(1+((1-phimax_pore)/phimax_pore^2)*($A49/100))*($A49/100))</f>
        <v>0.257996867600039</v>
      </c>
      <c r="AJ49" s="9" t="n">
        <f aca="false">AJ$5*(1+A_pore*AJ$6*($A49/100))/(1-AJ$6*(1+((1-phimax_pore)/phimax_pore^2)*($A49/100))*($A49/100))</f>
        <v>0.320515221931003</v>
      </c>
      <c r="AK49" s="9" t="n">
        <f aca="false">AK$5*(1+A_pore*AK$6*($A49/100))/(1-AK$6*(1+((1-phimax_pore)/phimax_pore^2)*($A49/100))*($A49/100))</f>
        <v>0.434056845902177</v>
      </c>
    </row>
    <row r="50" customFormat="false" ht="15" hidden="false" customHeight="false" outlineLevel="0" collapsed="false">
      <c r="A50" s="4" t="n">
        <v>41</v>
      </c>
      <c r="B50" s="9" t="n">
        <f aca="false">B$5*(1+A_pore*B$6*($A50/100))/(1-B$6*(1+((1-phimax_pore)/phimax_pore^2)*($A50/100))*($A50/100))</f>
        <v>0.0525161750767907</v>
      </c>
      <c r="C50" s="9" t="n">
        <f aca="false">C$5*(1+A_pore*C$6*($A50/100))/(1-C$6*(1+((1-phimax_pore)/phimax_pore^2)*($A50/100))*($A50/100))</f>
        <v>0.0539534630433526</v>
      </c>
      <c r="D50" s="9" t="n">
        <f aca="false">D$5*(1+A_pore*D$6*($A50/100))/(1-D$6*(1+((1-phimax_pore)/phimax_pore^2)*($A50/100))*($A50/100))</f>
        <v>0.0553887519205707</v>
      </c>
      <c r="E50" s="9" t="n">
        <f aca="false">E$5*(1+A_pore*E$6*($A50/100))/(1-E$6*(1+((1-phimax_pore)/phimax_pore^2)*($A50/100))*($A50/100))</f>
        <v>0.0568295875131321</v>
      </c>
      <c r="F50" s="9" t="n">
        <f aca="false">F$5*(1+A_pore*F$6*($A50/100))/(1-F$6*(1+((1-phimax_pore)/phimax_pore^2)*($A50/100))*($A50/100))</f>
        <v>0.0582833335239064</v>
      </c>
      <c r="G50" s="9" t="n">
        <f aca="false">G$5*(1+A_pore*G$6*($A50/100))/(1-G$6*(1+((1-phimax_pore)/phimax_pore^2)*($A50/100))*($A50/100))</f>
        <v>0.0597573268455221</v>
      </c>
      <c r="H50" s="9" t="n">
        <f aca="false">H$5*(1+A_pore*H$6*($A50/100))/(1-H$6*(1+((1-phimax_pore)/phimax_pore^2)*($A50/100))*($A50/100))</f>
        <v>0.061259026377423</v>
      </c>
      <c r="I50" s="9" t="n">
        <f aca="false">I$5*(1+A_pore*I$6*($A50/100))/(1-I$6*(1+((1-phimax_pore)/phimax_pore^2)*($A50/100))*($A50/100))</f>
        <v>0.0627961619258161</v>
      </c>
      <c r="J50" s="9" t="n">
        <f aca="false">J$5*(1+A_pore*J$6*($A50/100))/(1-J$6*(1+((1-phimax_pore)/phimax_pore^2)*($A50/100))*($A50/100))</f>
        <v>0.0643768895359503</v>
      </c>
      <c r="K50" s="9" t="n">
        <f aca="false">K$5*(1+A_pore*K$6*($A50/100))/(1-K$6*(1+((1-phimax_pore)/phimax_pore^2)*($A50/100))*($A50/100))</f>
        <v>0.0660099598706321</v>
      </c>
      <c r="L50" s="9" t="n">
        <f aca="false">L$5*(1+A_pore*L$6*($A50/100))/(1-L$6*(1+((1-phimax_pore)/phimax_pore^2)*($A50/100))*($A50/100))</f>
        <v>0.0677049070005879</v>
      </c>
      <c r="M50" s="9" t="n">
        <f aca="false">M$5*(1+A_pore*M$6*($A50/100))/(1-M$6*(1+((1-phimax_pore)/phimax_pore^2)*($A50/100))*($A50/100))</f>
        <v>0.0694722662814996</v>
      </c>
      <c r="N50" s="9" t="n">
        <f aca="false">N$5*(1+A_pore*N$6*($A50/100))/(1-N$6*(1+((1-phimax_pore)/phimax_pore^2)*($A50/100))*($A50/100))</f>
        <v>0.0713238319947253</v>
      </c>
      <c r="O50" s="9" t="n">
        <f aca="false">O$5*(1+A_pore*O$6*($A50/100))/(1-O$6*(1+((1-phimax_pore)/phimax_pore^2)*($A50/100))*($A50/100))</f>
        <v>0.0732729683452764</v>
      </c>
      <c r="P50" s="9" t="n">
        <f aca="false">P$5*(1+A_pore*P$6*($A50/100))/(1-P$6*(1+((1-phimax_pore)/phimax_pore^2)*($A50/100))*($A50/100))</f>
        <v>0.075334991584915</v>
      </c>
      <c r="Q50" s="9" t="n">
        <f aca="false">Q$5*(1+A_pore*Q$6*($A50/100))/(1-Q$6*(1+((1-phimax_pore)/phimax_pore^2)*($A50/100))*($A50/100))</f>
        <v>0.0775276469852983</v>
      </c>
      <c r="R50" s="9" t="n">
        <f aca="false">R$5*(1+A_pore*R$6*($A50/100))/(1-R$6*(1+((1-phimax_pore)/phimax_pore^2)*($A50/100))*($A50/100))</f>
        <v>0.0798717129302412</v>
      </c>
      <c r="S50" s="9" t="n">
        <f aca="false">S$5*(1+A_pore*S$6*($A50/100))/(1-S$6*(1+((1-phimax_pore)/phimax_pore^2)*($A50/100))*($A50/100))</f>
        <v>0.0823917767720738</v>
      </c>
      <c r="T50" s="9" t="n">
        <f aca="false">T$5*(1+A_pore*T$6*($A50/100))/(1-T$6*(1+((1-phimax_pore)/phimax_pore^2)*($A50/100))*($A50/100))</f>
        <v>0.0851172452595385</v>
      </c>
      <c r="U50" s="9" t="n">
        <f aca="false">U$5*(1+A_pore*U$6*($A50/100))/(1-U$6*(1+((1-phimax_pore)/phimax_pore^2)*($A50/100))*($A50/100))</f>
        <v>0.0880836794191527</v>
      </c>
      <c r="V50" s="9" t="n">
        <f aca="false">V$5*(1+A_pore*V$6*($A50/100))/(1-V$6*(1+((1-phimax_pore)/phimax_pore^2)*($A50/100))*($A50/100))</f>
        <v>0.0913345848591115</v>
      </c>
      <c r="W50" s="9" t="n">
        <f aca="false">W$5*(1+A_pore*W$6*($A50/100))/(1-W$6*(1+((1-phimax_pore)/phimax_pore^2)*($A50/100))*($A50/100))</f>
        <v>0.0949238520815861</v>
      </c>
      <c r="X50" s="9" t="n">
        <f aca="false">X$5*(1+A_pore*X$6*($A50/100))/(1-X$6*(1+((1-phimax_pore)/phimax_pore^2)*($A50/100))*($A50/100))</f>
        <v>0.0989191421240733</v>
      </c>
      <c r="Y50" s="9" t="n">
        <f aca="false">Y$5*(1+A_pore*Y$6*($A50/100))/(1-Y$6*(1+((1-phimax_pore)/phimax_pore^2)*($A50/100))*($A50/100))</f>
        <v>0.103406676409464</v>
      </c>
      <c r="Z50" s="9" t="n">
        <f aca="false">Z$5*(1+A_pore*Z$6*($A50/100))/(1-Z$6*(1+((1-phimax_pore)/phimax_pore^2)*($A50/100))*($A50/100))</f>
        <v>0.108498162820698</v>
      </c>
      <c r="AA50" s="9" t="n">
        <f aca="false">AA$5*(1+A_pore*AA$6*($A50/100))/(1-AA$6*(1+((1-phimax_pore)/phimax_pore^2)*($A50/100))*($A50/100))</f>
        <v>0.114341060837437</v>
      </c>
      <c r="AB50" s="9" t="n">
        <f aca="false">AB$5*(1+A_pore*AB$6*($A50/100))/(1-AB$6*(1+((1-phimax_pore)/phimax_pore^2)*($A50/100))*($A50/100))</f>
        <v>0.121134229936785</v>
      </c>
      <c r="AC50" s="9" t="n">
        <f aca="false">AC$5*(1+A_pore*AC$6*($A50/100))/(1-AC$6*(1+((1-phimax_pore)/phimax_pore^2)*($A50/100))*($A50/100))</f>
        <v>0.129152572424069</v>
      </c>
      <c r="AD50" s="9" t="n">
        <f aca="false">AD$5*(1+A_pore*AD$6*($A50/100))/(1-AD$6*(1+((1-phimax_pore)/phimax_pore^2)*($A50/100))*($A50/100))</f>
        <v>0.138787343383072</v>
      </c>
      <c r="AE50" s="9" t="n">
        <f aca="false">AE$5*(1+A_pore*AE$6*($A50/100))/(1-AE$6*(1+((1-phimax_pore)/phimax_pore^2)*($A50/100))*($A50/100))</f>
        <v>0.150615128142803</v>
      </c>
      <c r="AF50" s="9" t="n">
        <f aca="false">AF$5*(1+A_pore*AF$6*($A50/100))/(1-AF$6*(1+((1-phimax_pore)/phimax_pore^2)*($A50/100))*($A50/100))</f>
        <v>0.165522473893284</v>
      </c>
      <c r="AG50" s="9" t="n">
        <f aca="false">AG$5*(1+A_pore*AG$6*($A50/100))/(1-AG$6*(1+((1-phimax_pore)/phimax_pore^2)*($A50/100))*($A50/100))</f>
        <v>0.184946706206756</v>
      </c>
      <c r="AH50" s="9" t="n">
        <f aca="false">AH$5*(1+A_pore*AH$6*($A50/100))/(1-AH$6*(1+((1-phimax_pore)/phimax_pore^2)*($A50/100))*($A50/100))</f>
        <v>0.211382541142694</v>
      </c>
      <c r="AI50" s="9" t="n">
        <f aca="false">AI$5*(1+A_pore*AI$6*($A50/100))/(1-AI$6*(1+((1-phimax_pore)/phimax_pore^2)*($A50/100))*($A50/100))</f>
        <v>0.249573910425726</v>
      </c>
      <c r="AJ50" s="9" t="n">
        <f aca="false">AJ$5*(1+A_pore*AJ$6*($A50/100))/(1-AJ$6*(1+((1-phimax_pore)/phimax_pore^2)*($A50/100))*($A50/100))</f>
        <v>0.309786918764278</v>
      </c>
      <c r="AK50" s="9" t="n">
        <f aca="false">AK$5*(1+A_pore*AK$6*($A50/100))/(1-AK$6*(1+((1-phimax_pore)/phimax_pore^2)*($A50/100))*($A50/100))</f>
        <v>0.419143996649604</v>
      </c>
    </row>
    <row r="51" customFormat="false" ht="15" hidden="false" customHeight="false" outlineLevel="0" collapsed="false">
      <c r="A51" s="4" t="n">
        <v>42</v>
      </c>
      <c r="B51" s="9" t="n">
        <f aca="false">B$5*(1+A_pore*B$6*($A51/100))/(1-B$6*(1+((1-phimax_pore)/phimax_pore^2)*($A51/100))*($A51/100))</f>
        <v>0.0517346748287538</v>
      </c>
      <c r="C51" s="9" t="n">
        <f aca="false">C$5*(1+A_pore*C$6*($A51/100))/(1-C$6*(1+((1-phimax_pore)/phimax_pore^2)*($A51/100))*($A51/100))</f>
        <v>0.0531181971403534</v>
      </c>
      <c r="D51" s="9" t="n">
        <f aca="false">D$5*(1+A_pore*D$6*($A51/100))/(1-D$6*(1+((1-phimax_pore)/phimax_pore^2)*($A51/100))*($A51/100))</f>
        <v>0.0544994306936713</v>
      </c>
      <c r="E51" s="9" t="n">
        <f aca="false">E$5*(1+A_pore*E$6*($A51/100))/(1-E$6*(1+((1-phimax_pore)/phimax_pore^2)*($A51/100))*($A51/100))</f>
        <v>0.0558857196446689</v>
      </c>
      <c r="F51" s="9" t="n">
        <f aca="false">F$5*(1+A_pore*F$6*($A51/100))/(1-F$6*(1+((1-phimax_pore)/phimax_pore^2)*($A51/100))*($A51/100))</f>
        <v>0.0572842173062933</v>
      </c>
      <c r="G51" s="9" t="n">
        <f aca="false">G$5*(1+A_pore*G$6*($A51/100))/(1-G$6*(1+((1-phimax_pore)/phimax_pore^2)*($A51/100))*($A51/100))</f>
        <v>0.0587020390920501</v>
      </c>
      <c r="H51" s="9" t="n">
        <f aca="false">H$5*(1+A_pore*H$6*($A51/100))/(1-H$6*(1+((1-phimax_pore)/phimax_pore^2)*($A51/100))*($A51/100))</f>
        <v>0.0601464084298442</v>
      </c>
      <c r="I51" s="9" t="n">
        <f aca="false">I$5*(1+A_pore*I$6*($A51/100))/(1-I$6*(1+((1-phimax_pore)/phimax_pore^2)*($A51/100))*($A51/100))</f>
        <v>0.0616248021661245</v>
      </c>
      <c r="J51" s="9" t="n">
        <f aca="false">J$5*(1+A_pore*J$6*($A51/100))/(1-J$6*(1+((1-phimax_pore)/phimax_pore^2)*($A51/100))*($A51/100))</f>
        <v>0.0631451017238553</v>
      </c>
      <c r="K51" s="9" t="n">
        <f aca="false">K$5*(1+A_pore*K$6*($A51/100))/(1-K$6*(1+((1-phimax_pore)/phimax_pore^2)*($A51/100))*($A51/100))</f>
        <v>0.0647157564930163</v>
      </c>
      <c r="L51" s="9" t="n">
        <f aca="false">L$5*(1+A_pore*L$6*($A51/100))/(1-L$6*(1+((1-phimax_pore)/phimax_pore^2)*($A51/100))*($A51/100))</f>
        <v>0.0663459666282658</v>
      </c>
      <c r="M51" s="9" t="n">
        <f aca="false">M$5*(1+A_pore*M$6*($A51/100))/(1-M$6*(1+((1-phimax_pore)/phimax_pore^2)*($A51/100))*($A51/100))</f>
        <v>0.0680458936692793</v>
      </c>
      <c r="N51" s="9" t="n">
        <f aca="false">N$5*(1+A_pore*N$6*($A51/100))/(1-N$6*(1+((1-phimax_pore)/phimax_pore^2)*($A51/100))*($A51/100))</f>
        <v>0.0698269093132435</v>
      </c>
      <c r="O51" s="9" t="n">
        <f aca="false">O$5*(1+A_pore*O$6*($A51/100))/(1-O$6*(1+((1-phimax_pore)/phimax_pore^2)*($A51/100))*($A51/100))</f>
        <v>0.0717018954676821</v>
      </c>
      <c r="P51" s="9" t="n">
        <f aca="false">P$5*(1+A_pore*P$6*($A51/100))/(1-P$6*(1+((1-phimax_pore)/phimax_pore^2)*($A51/100))*($A51/100))</f>
        <v>0.0736856127248848</v>
      </c>
      <c r="Q51" s="9" t="n">
        <f aca="false">Q$5*(1+A_pore*Q$6*($A51/100))/(1-Q$6*(1+((1-phimax_pore)/phimax_pore^2)*($A51/100))*($A51/100))</f>
        <v>0.0757951601316609</v>
      </c>
      <c r="R51" s="9" t="n">
        <f aca="false">R$5*(1+A_pore*R$6*($A51/100))/(1-R$6*(1+((1-phimax_pore)/phimax_pore^2)*($A51/100))*($A51/100))</f>
        <v>0.0780505573541933</v>
      </c>
      <c r="S51" s="9" t="n">
        <f aca="false">S$5*(1+A_pore*S$6*($A51/100))/(1-S$6*(1+((1-phimax_pore)/phimax_pore^2)*($A51/100))*($A51/100))</f>
        <v>0.0804754922560373</v>
      </c>
      <c r="T51" s="9" t="n">
        <f aca="false">T$5*(1+A_pore*T$6*($A51/100))/(1-T$6*(1+((1-phimax_pore)/phimax_pore^2)*($A51/100))*($A51/100))</f>
        <v>0.0830982944005294</v>
      </c>
      <c r="U51" s="9" t="n">
        <f aca="false">U$5*(1+A_pore*U$6*($A51/100))/(1-U$6*(1+((1-phimax_pore)/phimax_pore^2)*($A51/100))*($A51/100))</f>
        <v>0.0859532210676027</v>
      </c>
      <c r="V51" s="9" t="n">
        <f aca="false">V$5*(1+A_pore*V$6*($A51/100))/(1-V$6*(1+((1-phimax_pore)/phimax_pore^2)*($A51/100))*($A51/100))</f>
        <v>0.0890821819525051</v>
      </c>
      <c r="W51" s="9" t="n">
        <f aca="false">W$5*(1+A_pore*W$6*($A51/100))/(1-W$6*(1+((1-phimax_pore)/phimax_pore^2)*($A51/100))*($A51/100))</f>
        <v>0.0925370899944251</v>
      </c>
      <c r="X51" s="9" t="n">
        <f aca="false">X$5*(1+A_pore*X$6*($A51/100))/(1-X$6*(1+((1-phimax_pore)/phimax_pore^2)*($A51/100))*($A51/100))</f>
        <v>0.096383122819389</v>
      </c>
      <c r="Y51" s="9" t="n">
        <f aca="false">Y$5*(1+A_pore*Y$6*($A51/100))/(1-Y$6*(1+((1-phimax_pore)/phimax_pore^2)*($A51/100))*($A51/100))</f>
        <v>0.100703336836556</v>
      </c>
      <c r="Z51" s="9" t="n">
        <f aca="false">Z$5*(1+A_pore*Z$6*($A51/100))/(1-Z$6*(1+((1-phimax_pore)/phimax_pore^2)*($A51/100))*($A51/100))</f>
        <v>0.105605339137057</v>
      </c>
      <c r="AA51" s="9" t="n">
        <f aca="false">AA$5*(1+A_pore*AA$6*($A51/100))/(1-AA$6*(1+((1-phimax_pore)/phimax_pore^2)*($A51/100))*($A51/100))</f>
        <v>0.111231175883865</v>
      </c>
      <c r="AB51" s="9" t="n">
        <f aca="false">AB$5*(1+A_pore*AB$6*($A51/100))/(1-AB$6*(1+((1-phimax_pore)/phimax_pore^2)*($A51/100))*($A51/100))</f>
        <v>0.11777240636269</v>
      </c>
      <c r="AC51" s="9" t="n">
        <f aca="false">AC$5*(1+A_pore*AC$6*($A51/100))/(1-AC$6*(1+((1-phimax_pore)/phimax_pore^2)*($A51/100))*($A51/100))</f>
        <v>0.125493841311267</v>
      </c>
      <c r="AD51" s="9" t="n">
        <f aca="false">AD$5*(1+A_pore*AD$6*($A51/100))/(1-AD$6*(1+((1-phimax_pore)/phimax_pore^2)*($A51/100))*($A51/100))</f>
        <v>0.13477237329271</v>
      </c>
      <c r="AE51" s="9" t="n">
        <f aca="false">AE$5*(1+A_pore*AE$6*($A51/100))/(1-AE$6*(1+((1-phimax_pore)/phimax_pore^2)*($A51/100))*($A51/100))</f>
        <v>0.14616342232403</v>
      </c>
      <c r="AF51" s="9" t="n">
        <f aca="false">AF$5*(1+A_pore*AF$6*($A51/100))/(1-AF$6*(1+((1-phimax_pore)/phimax_pore^2)*($A51/100))*($A51/100))</f>
        <v>0.160520992833699</v>
      </c>
      <c r="AG51" s="9" t="n">
        <f aca="false">AG$5*(1+A_pore*AG$6*($A51/100))/(1-AG$6*(1+((1-phimax_pore)/phimax_pore^2)*($A51/100))*($A51/100))</f>
        <v>0.179229650890284</v>
      </c>
      <c r="AH51" s="9" t="n">
        <f aca="false">AH$5*(1+A_pore*AH$6*($A51/100))/(1-AH$6*(1+((1-phimax_pore)/phimax_pore^2)*($A51/100))*($A51/100))</f>
        <v>0.204692540838226</v>
      </c>
      <c r="AI51" s="9" t="n">
        <f aca="false">AI$5*(1+A_pore*AI$6*($A51/100))/(1-AI$6*(1+((1-phimax_pore)/phimax_pore^2)*($A51/100))*($A51/100))</f>
        <v>0.241479463879143</v>
      </c>
      <c r="AJ51" s="9" t="n">
        <f aca="false">AJ$5*(1+A_pore*AJ$6*($A51/100))/(1-AJ$6*(1+((1-phimax_pore)/phimax_pore^2)*($A51/100))*($A51/100))</f>
        <v>0.299479699684765</v>
      </c>
      <c r="AK51" s="9" t="n">
        <f aca="false">AK$5*(1+A_pore*AK$6*($A51/100))/(1-AK$6*(1+((1-phimax_pore)/phimax_pore^2)*($A51/100))*($A51/100))</f>
        <v>0.404820132846587</v>
      </c>
    </row>
    <row r="52" customFormat="false" ht="15" hidden="false" customHeight="false" outlineLevel="0" collapsed="false">
      <c r="A52" s="4" t="n">
        <v>43</v>
      </c>
      <c r="B52" s="9" t="n">
        <f aca="false">B$5*(1+A_pore*B$6*($A52/100))/(1-B$6*(1+((1-phimax_pore)/phimax_pore^2)*($A52/100))*($A52/100))</f>
        <v>0.0509724913836192</v>
      </c>
      <c r="C52" s="9" t="n">
        <f aca="false">C$5*(1+A_pore*C$6*($A52/100))/(1-C$6*(1+((1-phimax_pore)/phimax_pore^2)*($A52/100))*($A52/100))</f>
        <v>0.0523042586756332</v>
      </c>
      <c r="D52" s="9" t="n">
        <f aca="false">D$5*(1+A_pore*D$6*($A52/100))/(1-D$6*(1+((1-phimax_pore)/phimax_pore^2)*($A52/100))*($A52/100))</f>
        <v>0.0536334930166642</v>
      </c>
      <c r="E52" s="9" t="n">
        <f aca="false">E$5*(1+A_pore*E$6*($A52/100))/(1-E$6*(1+((1-phimax_pore)/phimax_pore^2)*($A52/100))*($A52/100))</f>
        <v>0.0549673397097552</v>
      </c>
      <c r="F52" s="9" t="n">
        <f aca="false">F$5*(1+A_pore*F$6*($A52/100))/(1-F$6*(1+((1-phimax_pore)/phimax_pore^2)*($A52/100))*($A52/100))</f>
        <v>0.0563127456524366</v>
      </c>
      <c r="G52" s="9" t="n">
        <f aca="false">G$5*(1+A_pore*G$6*($A52/100))/(1-G$6*(1+((1-phimax_pore)/phimax_pore^2)*($A52/100))*($A52/100))</f>
        <v>0.0576766098797546</v>
      </c>
      <c r="H52" s="9" t="n">
        <f aca="false">H$5*(1+A_pore*H$6*($A52/100))/(1-H$6*(1+((1-phimax_pore)/phimax_pore^2)*($A52/100))*($A52/100))</f>
        <v>0.0590659265708468</v>
      </c>
      <c r="I52" s="9" t="n">
        <f aca="false">I$5*(1+A_pore*I$6*($A52/100))/(1-I$6*(1+((1-phimax_pore)/phimax_pore^2)*($A52/100))*($A52/100))</f>
        <v>0.0604879269981589</v>
      </c>
      <c r="J52" s="9" t="n">
        <f aca="false">J$5*(1+A_pore*J$6*($A52/100))/(1-J$6*(1+((1-phimax_pore)/phimax_pore^2)*($A52/100))*($A52/100))</f>
        <v>0.0619502265961589</v>
      </c>
      <c r="K52" s="9" t="n">
        <f aca="false">K$5*(1+A_pore*K$6*($A52/100))/(1-K$6*(1+((1-phimax_pore)/phimax_pore^2)*($A52/100))*($A52/100))</f>
        <v>0.0634609834950281</v>
      </c>
      <c r="L52" s="9" t="n">
        <f aca="false">L$5*(1+A_pore*L$6*($A52/100))/(1-L$6*(1+((1-phimax_pore)/phimax_pore^2)*($A52/100))*($A52/100))</f>
        <v>0.0650290755078047</v>
      </c>
      <c r="M52" s="9" t="n">
        <f aca="false">M$5*(1+A_pore*M$6*($A52/100))/(1-M$6*(1+((1-phimax_pore)/phimax_pore^2)*($A52/100))*($A52/100))</f>
        <v>0.0666643037352123</v>
      </c>
      <c r="N52" s="9" t="n">
        <f aca="false">N$5*(1+A_pore*N$6*($A52/100))/(1-N$6*(1+((1-phimax_pore)/phimax_pore^2)*($A52/100))*($A52/100))</f>
        <v>0.0683776327820375</v>
      </c>
      <c r="O52" s="9" t="n">
        <f aca="false">O$5*(1+A_pore*O$6*($A52/100))/(1-O$6*(1+((1-phimax_pore)/phimax_pore^2)*($A52/100))*($A52/100))</f>
        <v>0.0701814802647384</v>
      </c>
      <c r="P52" s="9" t="n">
        <f aca="false">P$5*(1+A_pore*P$6*($A52/100))/(1-P$6*(1+((1-phimax_pore)/phimax_pore^2)*($A52/100))*($A52/100))</f>
        <v>0.0720900721484585</v>
      </c>
      <c r="Q52" s="9" t="n">
        <f aca="false">Q$5*(1+A_pore*Q$6*($A52/100))/(1-Q$6*(1+((1-phimax_pore)/phimax_pore^2)*($A52/100))*($A52/100))</f>
        <v>0.0741198859685079</v>
      </c>
      <c r="R52" s="9" t="n">
        <f aca="false">R$5*(1+A_pore*R$6*($A52/100))/(1-R$6*(1+((1-phimax_pore)/phimax_pore^2)*($A52/100))*($A52/100))</f>
        <v>0.0762902119120171</v>
      </c>
      <c r="S52" s="9" t="n">
        <f aca="false">S$5*(1+A_pore*S$6*($A52/100))/(1-S$6*(1+((1-phimax_pore)/phimax_pore^2)*($A52/100))*($A52/100))</f>
        <v>0.0786238732142127</v>
      </c>
      <c r="T52" s="9" t="n">
        <f aca="false">T$5*(1+A_pore*T$6*($A52/100))/(1-T$6*(1+((1-phimax_pore)/phimax_pore^2)*($A52/100))*($A52/100))</f>
        <v>0.0811481641741649</v>
      </c>
      <c r="U52" s="9" t="n">
        <f aca="false">U$5*(1+A_pore*U$6*($A52/100))/(1-U$6*(1+((1-phimax_pore)/phimax_pore^2)*($A52/100))*($A52/100))</f>
        <v>0.0838960892170537</v>
      </c>
      <c r="V52" s="9" t="n">
        <f aca="false">V$5*(1+A_pore*V$6*($A52/100))/(1-V$6*(1+((1-phimax_pore)/phimax_pore^2)*($A52/100))*($A52/100))</f>
        <v>0.0869080245572555</v>
      </c>
      <c r="W52" s="9" t="n">
        <f aca="false">W$5*(1+A_pore*W$6*($A52/100))/(1-W$6*(1+((1-phimax_pore)/phimax_pore^2)*($A52/100))*($A52/100))</f>
        <v>0.0902339830526697</v>
      </c>
      <c r="X52" s="9" t="n">
        <f aca="false">X$5*(1+A_pore*X$6*($A52/100))/(1-X$6*(1+((1-phimax_pore)/phimax_pore^2)*($A52/100))*($A52/100))</f>
        <v>0.0939367563240167</v>
      </c>
      <c r="Y52" s="9" t="n">
        <f aca="false">Y$5*(1+A_pore*Y$6*($A52/100))/(1-Y$6*(1+((1-phimax_pore)/phimax_pore^2)*($A52/100))*($A52/100))</f>
        <v>0.0980963599993738</v>
      </c>
      <c r="Z52" s="9" t="n">
        <f aca="false">Z$5*(1+A_pore*Z$6*($A52/100))/(1-Z$6*(1+((1-phimax_pore)/phimax_pore^2)*($A52/100))*($A52/100))</f>
        <v>0.102816461422115</v>
      </c>
      <c r="AA52" s="9" t="n">
        <f aca="false">AA$5*(1+A_pore*AA$6*($A52/100))/(1-AA$6*(1+((1-phimax_pore)/phimax_pore^2)*($A52/100))*($A52/100))</f>
        <v>0.108233906096814</v>
      </c>
      <c r="AB52" s="9" t="n">
        <f aca="false">AB$5*(1+A_pore*AB$6*($A52/100))/(1-AB$6*(1+((1-phimax_pore)/phimax_pore^2)*($A52/100))*($A52/100))</f>
        <v>0.114533239959778</v>
      </c>
      <c r="AC52" s="9" t="n">
        <f aca="false">AC$5*(1+A_pore*AC$6*($A52/100))/(1-AC$6*(1+((1-phimax_pore)/phimax_pore^2)*($A52/100))*($A52/100))</f>
        <v>0.12196957875228</v>
      </c>
      <c r="AD52" s="9" t="n">
        <f aca="false">AD$5*(1+A_pore*AD$6*($A52/100))/(1-AD$6*(1+((1-phimax_pore)/phimax_pore^2)*($A52/100))*($A52/100))</f>
        <v>0.130906016964125</v>
      </c>
      <c r="AE52" s="9" t="n">
        <f aca="false">AE$5*(1+A_pore*AE$6*($A52/100))/(1-AE$6*(1+((1-phimax_pore)/phimax_pore^2)*($A52/100))*($A52/100))</f>
        <v>0.141877641126751</v>
      </c>
      <c r="AF52" s="9" t="n">
        <f aca="false">AF$5*(1+A_pore*AF$6*($A52/100))/(1-AF$6*(1+((1-phimax_pore)/phimax_pore^2)*($A52/100))*($A52/100))</f>
        <v>0.155707191901401</v>
      </c>
      <c r="AG52" s="9" t="n">
        <f aca="false">AG$5*(1+A_pore*AG$6*($A52/100))/(1-AG$6*(1+((1-phimax_pore)/phimax_pore^2)*($A52/100))*($A52/100))</f>
        <v>0.173728549410401</v>
      </c>
      <c r="AH52" s="9" t="n">
        <f aca="false">AH$5*(1+A_pore*AH$6*($A52/100))/(1-AH$6*(1+((1-phimax_pore)/phimax_pore^2)*($A52/100))*($A52/100))</f>
        <v>0.19825688523057</v>
      </c>
      <c r="AI52" s="9" t="n">
        <f aca="false">AI$5*(1+A_pore*AI$6*($A52/100))/(1-AI$6*(1+((1-phimax_pore)/phimax_pore^2)*($A52/100))*($A52/100))</f>
        <v>0.233694713679502</v>
      </c>
      <c r="AJ52" s="9" t="n">
        <f aca="false">AJ$5*(1+A_pore*AJ$6*($A52/100))/(1-AJ$6*(1+((1-phimax_pore)/phimax_pore^2)*($A52/100))*($A52/100))</f>
        <v>0.289569299223498</v>
      </c>
      <c r="AK52" s="9" t="n">
        <f aca="false">AK$5*(1+A_pore*AK$6*($A52/100))/(1-AK$6*(1+((1-phimax_pore)/phimax_pore^2)*($A52/100))*($A52/100))</f>
        <v>0.391051106995265</v>
      </c>
    </row>
    <row r="53" customFormat="false" ht="15" hidden="false" customHeight="false" outlineLevel="0" collapsed="false">
      <c r="A53" s="4" t="n">
        <v>44</v>
      </c>
      <c r="B53" s="9" t="n">
        <f aca="false">B$5*(1+A_pore*B$6*($A53/100))/(1-B$6*(1+((1-phimax_pore)/phimax_pore^2)*($A53/100))*($A53/100))</f>
        <v>0.0502289181922929</v>
      </c>
      <c r="C53" s="9" t="n">
        <f aca="false">C$5*(1+A_pore*C$6*($A53/100))/(1-C$6*(1+((1-phimax_pore)/phimax_pore^2)*($A53/100))*($A53/100))</f>
        <v>0.0515108421258317</v>
      </c>
      <c r="D53" s="9" t="n">
        <f aca="false">D$5*(1+A_pore*D$6*($A53/100))/(1-D$6*(1+((1-phimax_pore)/phimax_pore^2)*($A53/100))*($A53/100))</f>
        <v>0.0527900297657206</v>
      </c>
      <c r="E53" s="9" t="n">
        <f aca="false">E$5*(1+A_pore*E$6*($A53/100))/(1-E$6*(1+((1-phimax_pore)/phimax_pore^2)*($A53/100))*($A53/100))</f>
        <v>0.0540734303737135</v>
      </c>
      <c r="F53" s="9" t="n">
        <f aca="false">F$5*(1+A_pore*F$6*($A53/100))/(1-F$6*(1+((1-phimax_pore)/phimax_pore^2)*($A53/100))*($A53/100))</f>
        <v>0.0553677883424087</v>
      </c>
      <c r="G53" s="9" t="n">
        <f aca="false">G$5*(1+A_pore*G$6*($A53/100))/(1-G$6*(1+((1-phimax_pore)/phimax_pore^2)*($A53/100))*($A53/100))</f>
        <v>0.0566797912870507</v>
      </c>
      <c r="H53" s="9" t="n">
        <f aca="false">H$5*(1+A_pore*H$6*($A53/100))/(1-H$6*(1+((1-phimax_pore)/phimax_pore^2)*($A53/100))*($A53/100))</f>
        <v>0.0580162101408027</v>
      </c>
      <c r="I53" s="9" t="n">
        <f aca="false">I$5*(1+A_pore*I$6*($A53/100))/(1-I$6*(1+((1-phimax_pore)/phimax_pore^2)*($A53/100))*($A53/100))</f>
        <v>0.0593840376878919</v>
      </c>
      <c r="J53" s="9" t="n">
        <f aca="false">J$5*(1+A_pore*J$6*($A53/100))/(1-J$6*(1+((1-phimax_pore)/phimax_pore^2)*($A53/100))*($A53/100))</f>
        <v>0.0607906316238778</v>
      </c>
      <c r="K53" s="9" t="n">
        <f aca="false">K$5*(1+A_pore*K$6*($A53/100))/(1-K$6*(1+((1-phimax_pore)/phimax_pore^2)*($A53/100))*($A53/100))</f>
        <v>0.0622438683570077</v>
      </c>
      <c r="L53" s="9" t="n">
        <f aca="false">L$5*(1+A_pore*L$6*($A53/100))/(1-L$6*(1+((1-phimax_pore)/phimax_pore^2)*($A53/100))*($A53/100))</f>
        <v>0.0637523143574201</v>
      </c>
      <c r="M53" s="9" t="n">
        <f aca="false">M$5*(1+A_pore*M$6*($A53/100))/(1-M$6*(1+((1-phimax_pore)/phimax_pore^2)*($A53/100))*($A53/100))</f>
        <v>0.0653254229746479</v>
      </c>
      <c r="N53" s="9" t="n">
        <f aca="false">N$5*(1+A_pore*N$6*($A53/100))/(1-N$6*(1+((1-phimax_pore)/phimax_pore^2)*($A53/100))*($A53/100))</f>
        <v>0.0669737663928739</v>
      </c>
      <c r="O53" s="9" t="n">
        <f aca="false">O$5*(1+A_pore*O$6*($A53/100))/(1-O$6*(1+((1-phimax_pore)/phimax_pore^2)*($A53/100))*($A53/100))</f>
        <v>0.0687093149710162</v>
      </c>
      <c r="P53" s="9" t="n">
        <f aca="false">P$5*(1+A_pore*P$6*($A53/100))/(1-P$6*(1+((1-phimax_pore)/phimax_pore^2)*($A53/100))*($A53/100))</f>
        <v>0.0705457799248613</v>
      </c>
      <c r="Q53" s="9" t="n">
        <f aca="false">Q$5*(1+A_pore*Q$6*($A53/100))/(1-Q$6*(1+((1-phimax_pore)/phimax_pore^2)*($A53/100))*($A53/100))</f>
        <v>0.0724990406183082</v>
      </c>
      <c r="R53" s="9" t="n">
        <f aca="false">R$5*(1+A_pore*R$6*($A53/100))/(1-R$6*(1+((1-phimax_pore)/phimax_pore^2)*($A53/100))*($A53/100))</f>
        <v>0.0745876853579675</v>
      </c>
      <c r="S53" s="9" t="n">
        <f aca="false">S$5*(1+A_pore*S$6*($A53/100))/(1-S$6*(1+((1-phimax_pore)/phimax_pore^2)*($A53/100))*($A53/100))</f>
        <v>0.0768337056416674</v>
      </c>
      <c r="T53" s="9" t="n">
        <f aca="false">T$5*(1+A_pore*T$6*($A53/100))/(1-T$6*(1+((1-phimax_pore)/phimax_pore^2)*($A53/100))*($A53/100))</f>
        <v>0.0792634000438827</v>
      </c>
      <c r="U53" s="9" t="n">
        <f aca="false">U$5*(1+A_pore*U$6*($A53/100))/(1-U$6*(1+((1-phimax_pore)/phimax_pore^2)*($A53/100))*($A53/100))</f>
        <v>0.0819085681237281</v>
      </c>
      <c r="V53" s="9" t="n">
        <f aca="false">V$5*(1+A_pore*V$6*($A53/100))/(1-V$6*(1+((1-phimax_pore)/phimax_pore^2)*($A53/100))*($A53/100))</f>
        <v>0.0848081114741508</v>
      </c>
      <c r="W53" s="9" t="n">
        <f aca="false">W$5*(1+A_pore*W$6*($A53/100))/(1-W$6*(1+((1-phimax_pore)/phimax_pore^2)*($A53/100))*($A53/100))</f>
        <v>0.0880102159092512</v>
      </c>
      <c r="X53" s="9" t="n">
        <f aca="false">X$5*(1+A_pore*X$6*($A53/100))/(1-X$6*(1+((1-phimax_pore)/phimax_pore^2)*($A53/100))*($A53/100))</f>
        <v>0.091575378853948</v>
      </c>
      <c r="Y53" s="9" t="n">
        <f aca="false">Y$5*(1+A_pore*Y$6*($A53/100))/(1-Y$6*(1+((1-phimax_pore)/phimax_pore^2)*($A53/100))*($A53/100))</f>
        <v>0.0955806922409011</v>
      </c>
      <c r="Z53" s="9" t="n">
        <f aca="false">Z$5*(1+A_pore*Z$6*($A53/100))/(1-Z$6*(1+((1-phimax_pore)/phimax_pore^2)*($A53/100))*($A53/100))</f>
        <v>0.100126035436741</v>
      </c>
      <c r="AA53" s="9" t="n">
        <f aca="false">AA$5*(1+A_pore*AA$6*($A53/100))/(1-AA$6*(1+((1-phimax_pore)/phimax_pore^2)*($A53/100))*($A53/100))</f>
        <v>0.105343253693122</v>
      </c>
      <c r="AB53" s="9" t="n">
        <f aca="false">AB$5*(1+A_pore*AB$6*($A53/100))/(1-AB$6*(1+((1-phimax_pore)/phimax_pore^2)*($A53/100))*($A53/100))</f>
        <v>0.111410149904659</v>
      </c>
      <c r="AC53" s="9" t="n">
        <f aca="false">AC$5*(1+A_pore*AC$6*($A53/100))/(1-AC$6*(1+((1-phimax_pore)/phimax_pore^2)*($A53/100))*($A53/100))</f>
        <v>0.118572518521193</v>
      </c>
      <c r="AD53" s="9" t="n">
        <f aca="false">AD$5*(1+A_pore*AD$6*($A53/100))/(1-AD$6*(1+((1-phimax_pore)/phimax_pore^2)*($A53/100))*($A53/100))</f>
        <v>0.127180187854583</v>
      </c>
      <c r="AE53" s="9" t="n">
        <f aca="false">AE$5*(1+A_pore*AE$6*($A53/100))/(1-AE$6*(1+((1-phimax_pore)/phimax_pore^2)*($A53/100))*($A53/100))</f>
        <v>0.137748694799442</v>
      </c>
      <c r="AF53" s="9" t="n">
        <f aca="false">AF$5*(1+A_pore*AF$6*($A53/100))/(1-AF$6*(1+((1-phimax_pore)/phimax_pore^2)*($A53/100))*($A53/100))</f>
        <v>0.15107072146961</v>
      </c>
      <c r="AG53" s="9" t="n">
        <f aca="false">AG$5*(1+A_pore*AG$6*($A53/100))/(1-AG$6*(1+((1-phimax_pore)/phimax_pore^2)*($A53/100))*($A53/100))</f>
        <v>0.168431415987633</v>
      </c>
      <c r="AH53" s="9" t="n">
        <f aca="false">AH$5*(1+A_pore*AH$6*($A53/100))/(1-AH$6*(1+((1-phimax_pore)/phimax_pore^2)*($A53/100))*($A53/100))</f>
        <v>0.192061368504446</v>
      </c>
      <c r="AI53" s="9" t="n">
        <f aca="false">AI$5*(1+A_pore*AI$6*($A53/100))/(1-AI$6*(1+((1-phimax_pore)/phimax_pore^2)*($A53/100))*($A53/100))</f>
        <v>0.226202255313107</v>
      </c>
      <c r="AJ53" s="9" t="n">
        <f aca="false">AJ$5*(1+A_pore*AJ$6*($A53/100))/(1-AJ$6*(1+((1-phimax_pore)/phimax_pore^2)*($A53/100))*($A53/100))</f>
        <v>0.28003328118923</v>
      </c>
      <c r="AK53" s="9" t="n">
        <f aca="false">AK$5*(1+A_pore*AK$6*($A53/100))/(1-AK$6*(1+((1-phimax_pore)/phimax_pore^2)*($A53/100))*($A53/100))</f>
        <v>0.377805361208179</v>
      </c>
    </row>
    <row r="54" customFormat="false" ht="15" hidden="false" customHeight="false" outlineLevel="0" collapsed="false">
      <c r="A54" s="4" t="n">
        <v>45</v>
      </c>
      <c r="B54" s="9" t="n">
        <f aca="false">B$5*(1+A_pore*B$6*($A54/100))/(1-B$6*(1+((1-phimax_pore)/phimax_pore^2)*($A54/100))*($A54/100))</f>
        <v>0.049503282748111</v>
      </c>
      <c r="C54" s="9" t="n">
        <f aca="false">C$5*(1+A_pore*C$6*($A54/100))/(1-C$6*(1+((1-phimax_pore)/phimax_pore^2)*($A54/100))*($A54/100))</f>
        <v>0.0507371820282706</v>
      </c>
      <c r="D54" s="9" t="n">
        <f aca="false">D$5*(1+A_pore*D$6*($A54/100))/(1-D$6*(1+((1-phimax_pore)/phimax_pore^2)*($A54/100))*($A54/100))</f>
        <v>0.0519681783411057</v>
      </c>
      <c r="E54" s="9" t="n">
        <f aca="false">E$5*(1+A_pore*E$6*($A54/100))/(1-E$6*(1+((1-phimax_pore)/phimax_pore^2)*($A54/100))*($A54/100))</f>
        <v>0.0532030277321498</v>
      </c>
      <c r="F54" s="9" t="n">
        <f aca="false">F$5*(1+A_pore*F$6*($A54/100))/(1-F$6*(1+((1-phimax_pore)/phimax_pore^2)*($A54/100))*($A54/100))</f>
        <v>0.0544482759378859</v>
      </c>
      <c r="G54" s="9" t="n">
        <f aca="false">G$5*(1+A_pore*G$6*($A54/100))/(1-G$6*(1+((1-phimax_pore)/phimax_pore^2)*($A54/100))*($A54/100))</f>
        <v>0.0557104039778097</v>
      </c>
      <c r="H54" s="9" t="n">
        <f aca="false">H$5*(1+A_pore*H$6*($A54/100))/(1-H$6*(1+((1-phimax_pore)/phimax_pore^2)*($A54/100))*($A54/100))</f>
        <v>0.0569959653346933</v>
      </c>
      <c r="I54" s="9" t="n">
        <f aca="false">I$5*(1+A_pore*I$6*($A54/100))/(1-I$6*(1+((1-phimax_pore)/phimax_pore^2)*($A54/100))*($A54/100))</f>
        <v>0.0583117211088888</v>
      </c>
      <c r="J54" s="9" t="n">
        <f aca="false">J$5*(1+A_pore*J$6*($A54/100))/(1-J$6*(1+((1-phimax_pore)/phimax_pore^2)*($A54/100))*($A54/100))</f>
        <v>0.0596647791472137</v>
      </c>
      <c r="K54" s="9" t="n">
        <f aca="false">K$5*(1+A_pore*K$6*($A54/100))/(1-K$6*(1+((1-phimax_pore)/phimax_pore^2)*($A54/100))*($A54/100))</f>
        <v>0.0610627432303428</v>
      </c>
      <c r="L54" s="9" t="n">
        <f aca="false">L$5*(1+A_pore*L$6*($A54/100))/(1-L$6*(1+((1-phimax_pore)/phimax_pore^2)*($A54/100))*($A54/100))</f>
        <v>0.0625138789478521</v>
      </c>
      <c r="M54" s="9" t="n">
        <f aca="false">M$5*(1+A_pore*M$6*($A54/100))/(1-M$6*(1+((1-phimax_pore)/phimax_pore^2)*($A54/100))*($A54/100))</f>
        <v>0.0640273039446252</v>
      </c>
      <c r="N54" s="9" t="n">
        <f aca="false">N$5*(1+A_pore*N$6*($A54/100))/(1-N$6*(1+((1-phimax_pore)/phimax_pore^2)*($A54/100))*($A54/100))</f>
        <v>0.0656132118941849</v>
      </c>
      <c r="O54" s="9" t="n">
        <f aca="false">O$5*(1+A_pore*O$6*($A54/100))/(1-O$6*(1+((1-phimax_pore)/phimax_pore^2)*($A54/100))*($A54/100))</f>
        <v>0.0672831420284177</v>
      </c>
      <c r="P54" s="9" t="n">
        <f aca="false">P$5*(1+A_pore*P$6*($A54/100))/(1-P$6*(1+((1-phimax_pore)/phimax_pore^2)*($A54/100))*($A54/100))</f>
        <v>0.0690503096208161</v>
      </c>
      <c r="Q54" s="9" t="n">
        <f aca="false">Q$5*(1+A_pore*Q$6*($A54/100))/(1-Q$6*(1+((1-phimax_pore)/phimax_pore^2)*($A54/100))*($A54/100))</f>
        <v>0.0709300179312379</v>
      </c>
      <c r="R54" s="9" t="n">
        <f aca="false">R$5*(1+A_pore*R$6*($A54/100))/(1-R$6*(1+((1-phimax_pore)/phimax_pore^2)*($A54/100))*($A54/100))</f>
        <v>0.072940179465165</v>
      </c>
      <c r="S54" s="9" t="n">
        <f aca="false">S$5*(1+A_pore*S$6*($A54/100))/(1-S$6*(1+((1-phimax_pore)/phimax_pore^2)*($A54/100))*($A54/100))</f>
        <v>0.0751019850504329</v>
      </c>
      <c r="T54" s="9" t="n">
        <f aca="false">T$5*(1+A_pore*T$6*($A54/100))/(1-T$6*(1+((1-phimax_pore)/phimax_pore^2)*($A54/100))*($A54/100))</f>
        <v>0.0774407748724149</v>
      </c>
      <c r="U54" s="9" t="n">
        <f aca="false">U$5*(1+A_pore*U$6*($A54/100))/(1-U$6*(1+((1-phimax_pore)/phimax_pore^2)*($A54/100))*($A54/100))</f>
        <v>0.0799871889265748</v>
      </c>
      <c r="V54" s="9" t="n">
        <f aca="false">V$5*(1+A_pore*V$6*($A54/100))/(1-V$6*(1+((1-phimax_pore)/phimax_pore^2)*($A54/100))*($A54/100))</f>
        <v>0.0827787097388266</v>
      </c>
      <c r="W54" s="9" t="n">
        <f aca="false">W$5*(1+A_pore*W$6*($A54/100))/(1-W$6*(1+((1-phimax_pore)/phimax_pore^2)*($A54/100))*($A54/100))</f>
        <v>0.0858617650063069</v>
      </c>
      <c r="X54" s="9" t="n">
        <f aca="false">X$5*(1+A_pore*X$6*($A54/100))/(1-X$6*(1+((1-phimax_pore)/phimax_pore^2)*($A54/100))*($A54/100))</f>
        <v>0.08929464459167</v>
      </c>
      <c r="Y54" s="9" t="n">
        <f aca="false">Y$5*(1+A_pore*Y$6*($A54/100))/(1-Y$6*(1+((1-phimax_pore)/phimax_pore^2)*($A54/100))*($A54/100))</f>
        <v>0.0931516272086965</v>
      </c>
      <c r="Z54" s="9" t="n">
        <f aca="false">Z$5*(1+A_pore*Z$6*($A54/100))/(1-Z$6*(1+((1-phimax_pore)/phimax_pore^2)*($A54/100))*($A54/100))</f>
        <v>0.097528947443695</v>
      </c>
      <c r="AA54" s="9" t="n">
        <f aca="false">AA$5*(1+A_pore*AA$6*($A54/100))/(1-AA$6*(1+((1-phimax_pore)/phimax_pore^2)*($A54/100))*($A54/100))</f>
        <v>0.102553639371562</v>
      </c>
      <c r="AB54" s="9" t="n">
        <f aca="false">AB$5*(1+A_pore*AB$6*($A54/100))/(1-AB$6*(1+((1-phimax_pore)/phimax_pore^2)*($A54/100))*($A54/100))</f>
        <v>0.10839701786533</v>
      </c>
      <c r="AC54" s="9" t="n">
        <f aca="false">AC$5*(1+A_pore*AC$6*($A54/100))/(1-AC$6*(1+((1-phimax_pore)/phimax_pore^2)*($A54/100))*($A54/100))</f>
        <v>0.115295908647015</v>
      </c>
      <c r="AD54" s="9" t="n">
        <f aca="false">AD$5*(1+A_pore*AD$6*($A54/100))/(1-AD$6*(1+((1-phimax_pore)/phimax_pore^2)*($A54/100))*($A54/100))</f>
        <v>0.123587375649608</v>
      </c>
      <c r="AE54" s="9" t="n">
        <f aca="false">AE$5*(1+A_pore*AE$6*($A54/100))/(1-AE$6*(1+((1-phimax_pore)/phimax_pore^2)*($A54/100))*($A54/100))</f>
        <v>0.133768145621875</v>
      </c>
      <c r="AF54" s="9" t="n">
        <f aca="false">AF$5*(1+A_pore*AF$6*($A54/100))/(1-AF$6*(1+((1-phimax_pore)/phimax_pore^2)*($A54/100))*($A54/100))</f>
        <v>0.146601979142299</v>
      </c>
      <c r="AG54" s="9" t="n">
        <f aca="false">AG$5*(1+A_pore*AG$6*($A54/100))/(1-AG$6*(1+((1-phimax_pore)/phimax_pore^2)*($A54/100))*($A54/100))</f>
        <v>0.163327135694894</v>
      </c>
      <c r="AH54" s="9" t="n">
        <f aca="false">AH$5*(1+A_pore*AH$6*($A54/100))/(1-AH$6*(1+((1-phimax_pore)/phimax_pore^2)*($A54/100))*($A54/100))</f>
        <v>0.186092823406953</v>
      </c>
      <c r="AI54" s="9" t="n">
        <f aca="false">AI$5*(1+A_pore*AI$6*($A54/100))/(1-AI$6*(1+((1-phimax_pore)/phimax_pore^2)*($A54/100))*($A54/100))</f>
        <v>0.21898596441788</v>
      </c>
      <c r="AJ54" s="9" t="n">
        <f aca="false">AJ$5*(1+A_pore*AJ$6*($A54/100))/(1-AJ$6*(1+((1-phimax_pore)/phimax_pore^2)*($A54/100))*($A54/100))</f>
        <v>0.270850869479544</v>
      </c>
      <c r="AK54" s="9" t="n">
        <f aca="false">AK$5*(1+A_pore*AK$6*($A54/100))/(1-AK$6*(1+((1-phimax_pore)/phimax_pore^2)*($A54/100))*($A54/100))</f>
        <v>0.365053686293607</v>
      </c>
    </row>
    <row r="55" customFormat="false" ht="15" hidden="false" customHeight="false" outlineLevel="0" collapsed="false">
      <c r="A55" s="4" t="n">
        <v>46</v>
      </c>
      <c r="B55" s="9" t="n">
        <f aca="false">B$5*(1+A_pore*B$6*($A55/100))/(1-B$6*(1+((1-phimax_pore)/phimax_pore^2)*($A55/100))*($A55/100))</f>
        <v>0.0487949445609828</v>
      </c>
      <c r="C55" s="9" t="n">
        <f aca="false">C$5*(1+A_pore*C$6*($A55/100))/(1-C$6*(1+((1-phimax_pore)/phimax_pore^2)*($A55/100))*($A55/100))</f>
        <v>0.0499825505211397</v>
      </c>
      <c r="D55" s="9" t="n">
        <f aca="false">D$5*(1+A_pore*D$6*($A55/100))/(1-D$6*(1+((1-phimax_pore)/phimax_pore^2)*($A55/100))*($A55/100))</f>
        <v>0.0511671197287048</v>
      </c>
      <c r="E55" s="9" t="n">
        <f aca="false">E$5*(1+A_pore*E$6*($A55/100))/(1-E$6*(1+((1-phimax_pore)/phimax_pore^2)*($A55/100))*($A55/100))</f>
        <v>0.0523552178487231</v>
      </c>
      <c r="F55" s="9" t="n">
        <f aca="false">F$5*(1+A_pore*F$6*($A55/100))/(1-F$6*(1+((1-phimax_pore)/phimax_pore^2)*($A55/100))*($A55/100))</f>
        <v>0.0535531957504201</v>
      </c>
      <c r="G55" s="9" t="n">
        <f aca="false">G$5*(1+A_pore*G$6*($A55/100))/(1-G$6*(1+((1-phimax_pore)/phimax_pore^2)*($A55/100))*($A55/100))</f>
        <v>0.054767332553423</v>
      </c>
      <c r="H55" s="9" t="n">
        <f aca="false">H$5*(1+A_pore*H$6*($A55/100))/(1-H$6*(1+((1-phimax_pore)/phimax_pore^2)*($A55/100))*($A55/100))</f>
        <v>0.0560039698899066</v>
      </c>
      <c r="I55" s="9" t="n">
        <f aca="false">I$5*(1+A_pore*I$6*($A55/100))/(1-I$6*(1+((1-phimax_pore)/phimax_pore^2)*($A55/100))*($A55/100))</f>
        <v>0.0572696437159874</v>
      </c>
      <c r="J55" s="9" t="n">
        <f aca="false">J$5*(1+A_pore*J$6*($A55/100))/(1-J$6*(1+((1-phimax_pore)/phimax_pore^2)*($A55/100))*($A55/100))</f>
        <v>0.0585712195829635</v>
      </c>
      <c r="K55" s="9" t="n">
        <f aca="false">K$5*(1+A_pore*K$6*($A55/100))/(1-K$6*(1+((1-phimax_pore)/phimax_pore^2)*($A55/100))*($A55/100))</f>
        <v>0.0599160373235634</v>
      </c>
      <c r="L55" s="9" t="n">
        <f aca="false">L$5*(1+A_pore*L$6*($A55/100))/(1-L$6*(1+((1-phimax_pore)/phimax_pore^2)*($A55/100))*($A55/100))</f>
        <v>0.0613120716085405</v>
      </c>
      <c r="M55" s="9" t="n">
        <f aca="false">M$5*(1+A_pore*M$6*($A55/100))/(1-M$6*(1+((1-phimax_pore)/phimax_pore^2)*($A55/100))*($A55/100))</f>
        <v>0.0627681158271758</v>
      </c>
      <c r="N55" s="9" t="n">
        <f aca="false">N$5*(1+A_pore*N$6*($A55/100))/(1-N$6*(1+((1-phimax_pore)/phimax_pore^2)*($A55/100))*($A55/100))</f>
        <v>0.0642939983432946</v>
      </c>
      <c r="O55" s="9" t="n">
        <f aca="false">O$5*(1+A_pore*O$6*($A55/100))/(1-O$6*(1+((1-phimax_pore)/phimax_pore^2)*($A55/100))*($A55/100))</f>
        <v>0.0659008425527859</v>
      </c>
      <c r="P55" s="9" t="n">
        <f aca="false">P$5*(1+A_pore*P$6*($A55/100))/(1-P$6*(1+((1-phimax_pore)/phimax_pore^2)*($A55/100))*($A55/100))</f>
        <v>0.0676013855993792</v>
      </c>
      <c r="Q55" s="9" t="n">
        <f aca="false">Q$5*(1+A_pore*Q$6*($A55/100))/(1-Q$6*(1+((1-phimax_pore)/phimax_pore^2)*($A55/100))*($A55/100))</f>
        <v>0.0694103755249258</v>
      </c>
      <c r="R55" s="9" t="n">
        <f aca="false">R$5*(1+A_pore*R$6*($A55/100))/(1-R$6*(1+((1-phimax_pore)/phimax_pore^2)*($A55/100))*($A55/100))</f>
        <v>0.0713450737038845</v>
      </c>
      <c r="S55" s="9" t="n">
        <f aca="false">S$5*(1+A_pore*S$6*($A55/100))/(1-S$6*(1+((1-phimax_pore)/phimax_pore^2)*($A55/100))*($A55/100))</f>
        <v>0.0734258996705939</v>
      </c>
      <c r="T55" s="9" t="n">
        <f aca="false">T$5*(1+A_pore*T$6*($A55/100))/(1-T$6*(1+((1-phimax_pore)/phimax_pore^2)*($A55/100))*($A55/100))</f>
        <v>0.0756772705136621</v>
      </c>
      <c r="U55" s="9" t="n">
        <f aca="false">U$5*(1+A_pore*U$6*($A55/100))/(1-U$6*(1+((1-phimax_pore)/phimax_pore^2)*($A55/100))*($A55/100))</f>
        <v>0.078128709477961</v>
      </c>
      <c r="V55" s="9" t="n">
        <f aca="false">V$5*(1+A_pore*V$6*($A55/100))/(1-V$6*(1+((1-phimax_pore)/phimax_pore^2)*($A55/100))*($A55/100))</f>
        <v>0.0808163325146599</v>
      </c>
      <c r="W55" s="9" t="n">
        <f aca="false">W$5*(1+A_pore*W$6*($A55/100))/(1-W$6*(1+((1-phimax_pore)/phimax_pore^2)*($A55/100))*($A55/100))</f>
        <v>0.0837848743228938</v>
      </c>
      <c r="X55" s="9" t="n">
        <f aca="false">X$5*(1+A_pore*X$6*($A55/100))/(1-X$6*(1+((1-phimax_pore)/phimax_pore^2)*($A55/100))*($A55/100))</f>
        <v>0.0870904990424766</v>
      </c>
      <c r="Y55" s="9" t="n">
        <f aca="false">Y$5*(1+A_pore*Y$6*($A55/100))/(1-Y$6*(1+((1-phimax_pore)/phimax_pore^2)*($A55/100))*($A55/100))</f>
        <v>0.0908047765238792</v>
      </c>
      <c r="Z55" s="9" t="n">
        <f aca="false">Z$5*(1+A_pore*Z$6*($A55/100))/(1-Z$6*(1+((1-phimax_pore)/phimax_pore^2)*($A55/100))*($A55/100))</f>
        <v>0.0950204318288031</v>
      </c>
      <c r="AA55" s="9" t="n">
        <f aca="false">AA$5*(1+A_pore*AA$6*($A55/100))/(1-AA$6*(1+((1-phimax_pore)/phimax_pore^2)*($A55/100))*($A55/100))</f>
        <v>0.0998598664402676</v>
      </c>
      <c r="AB55" s="9" t="n">
        <f aca="false">AB$5*(1+A_pore*AB$6*($A55/100))/(1-AB$6*(1+((1-phimax_pore)/phimax_pore^2)*($A55/100))*($A55/100))</f>
        <v>0.105488148073606</v>
      </c>
      <c r="AC55" s="9" t="n">
        <f aca="false">AC$5*(1+A_pore*AC$6*($A55/100))/(1-AC$6*(1+((1-phimax_pore)/phimax_pore^2)*($A55/100))*($A55/100))</f>
        <v>0.112133466710229</v>
      </c>
      <c r="AD55" s="9" t="n">
        <f aca="false">AD$5*(1+A_pore*AD$6*($A55/100))/(1-AD$6*(1+((1-phimax_pore)/phimax_pore^2)*($A55/100))*($A55/100))</f>
        <v>0.120120595835469</v>
      </c>
      <c r="AE55" s="9" t="n">
        <f aca="false">AE$5*(1+A_pore*AE$6*($A55/100))/(1-AE$6*(1+((1-phimax_pore)/phimax_pore^2)*($A55/100))*($A55/100))</f>
        <v>0.129928150470256</v>
      </c>
      <c r="AF55" s="9" t="n">
        <f aca="false">AF$5*(1+A_pore*AF$6*($A55/100))/(1-AF$6*(1+((1-phimax_pore)/phimax_pore^2)*($A55/100))*($A55/100))</f>
        <v>0.142292043513356</v>
      </c>
      <c r="AG55" s="9" t="n">
        <f aca="false">AG$5*(1+A_pore*AG$6*($A55/100))/(1-AG$6*(1+((1-phimax_pore)/phimax_pore^2)*($A55/100))*($A55/100))</f>
        <v>0.158405386776459</v>
      </c>
      <c r="AH55" s="9" t="n">
        <f aca="false">AH$5*(1+A_pore*AH$6*($A55/100))/(1-AH$6*(1+((1-phimax_pore)/phimax_pore^2)*($A55/100))*($A55/100))</f>
        <v>0.180339028041757</v>
      </c>
      <c r="AI55" s="9" t="n">
        <f aca="false">AI$5*(1+A_pore*AI$6*($A55/100))/(1-AI$6*(1+((1-phimax_pore)/phimax_pore^2)*($A55/100))*($A55/100))</f>
        <v>0.212030881210046</v>
      </c>
      <c r="AJ55" s="9" t="n">
        <f aca="false">AJ$5*(1+A_pore*AJ$6*($A55/100))/(1-AJ$6*(1+((1-phimax_pore)/phimax_pore^2)*($A55/100))*($A55/100))</f>
        <v>0.262002797328756</v>
      </c>
      <c r="AK55" s="9" t="n">
        <f aca="false">AK$5*(1+A_pore*AK$6*($A55/100))/(1-AK$6*(1+((1-phimax_pore)/phimax_pore^2)*($A55/100))*($A55/100))</f>
        <v>0.352769007244713</v>
      </c>
    </row>
    <row r="56" customFormat="false" ht="15" hidden="false" customHeight="false" outlineLevel="0" collapsed="false">
      <c r="A56" s="4" t="n">
        <v>47</v>
      </c>
      <c r="B56" s="9" t="n">
        <f aca="false">B$5*(1+A_pore*B$6*($A56/100))/(1-B$6*(1+((1-phimax_pore)/phimax_pore^2)*($A56/100))*($A56/100))</f>
        <v>0.0481032932745021</v>
      </c>
      <c r="C56" s="9" t="n">
        <f aca="false">C$5*(1+A_pore*C$6*($A56/100))/(1-C$6*(1+((1-phimax_pore)/phimax_pore^2)*($A56/100))*($A56/100))</f>
        <v>0.0492462550627308</v>
      </c>
      <c r="D56" s="9" t="n">
        <f aca="false">D$5*(1+A_pore*D$6*($A56/100))/(1-D$6*(1+((1-phimax_pore)/phimax_pore^2)*($A56/100))*($A56/100))</f>
        <v>0.0503860757814857</v>
      </c>
      <c r="E56" s="9" t="n">
        <f aca="false">E$5*(1+A_pore*E$6*($A56/100))/(1-E$6*(1+((1-phimax_pore)/phimax_pore^2)*($A56/100))*($A56/100))</f>
        <v>0.05152913355869</v>
      </c>
      <c r="F56" s="9" t="n">
        <f aca="false">F$5*(1+A_pore*F$6*($A56/100))/(1-F$6*(1+((1-phimax_pore)/phimax_pore^2)*($A56/100))*($A56/100))</f>
        <v>0.0526815881264244</v>
      </c>
      <c r="G56" s="9" t="n">
        <f aca="false">G$5*(1+A_pore*G$6*($A56/100))/(1-G$6*(1+((1-phimax_pore)/phimax_pore^2)*($A56/100))*($A56/100))</f>
        <v>0.0538495212777911</v>
      </c>
      <c r="H56" s="9" t="n">
        <f aca="false">H$5*(1+A_pore*H$6*($A56/100))/(1-H$6*(1+((1-phimax_pore)/phimax_pore^2)*($A56/100))*($A56/100))</f>
        <v>0.0550390682086435</v>
      </c>
      <c r="I56" s="9" t="n">
        <f aca="false">I$5*(1+A_pore*I$6*($A56/100))/(1-I$6*(1+((1-phimax_pore)/phimax_pore^2)*($A56/100))*($A56/100))</f>
        <v>0.0562565460209771</v>
      </c>
      <c r="J56" s="9" t="n">
        <f aca="false">J$5*(1+A_pore*J$6*($A56/100))/(1-J$6*(1+((1-phimax_pore)/phimax_pore^2)*($A56/100))*($A56/100))</f>
        <v>0.0575085852073052</v>
      </c>
      <c r="K56" s="9" t="n">
        <f aca="false">K$5*(1+A_pore*K$6*($A56/100))/(1-K$6*(1+((1-phimax_pore)/phimax_pore^2)*($A56/100))*($A56/100))</f>
        <v>0.0588022699435217</v>
      </c>
      <c r="L56" s="9" t="n">
        <f aca="false">L$5*(1+A_pore*L$6*($A56/100))/(1-L$6*(1+((1-phimax_pore)/phimax_pore^2)*($A56/100))*($A56/100))</f>
        <v>0.0601452934753248</v>
      </c>
      <c r="M56" s="9" t="n">
        <f aca="false">M$5*(1+A_pore*M$6*($A56/100))/(1-M$6*(1+((1-phimax_pore)/phimax_pore^2)*($A56/100))*($A56/100))</f>
        <v>0.0615461358278161</v>
      </c>
      <c r="N56" s="9" t="n">
        <f aca="false">N$5*(1+A_pore*N$6*($A56/100))/(1-N$6*(1+((1-phimax_pore)/phimax_pore^2)*($A56/100))*($A56/100))</f>
        <v>0.0630142725952953</v>
      </c>
      <c r="O56" s="9" t="n">
        <f aca="false">O$5*(1+A_pore*O$6*($A56/100))/(1-O$6*(1+((1-phimax_pore)/phimax_pore^2)*($A56/100))*($A56/100))</f>
        <v>0.064560425847124</v>
      </c>
      <c r="P56" s="9" t="n">
        <f aca="false">P$5*(1+A_pore*P$6*($A56/100))/(1-P$6*(1+((1-phimax_pore)/phimax_pore^2)*($A56/100))*($A56/100))</f>
        <v>0.0661968714846768</v>
      </c>
      <c r="Q56" s="9" t="n">
        <f aca="false">Q$5*(1+A_pore*Q$6*($A56/100))/(1-Q$6*(1+((1-phimax_pore)/phimax_pore^2)*($A56/100))*($A56/100))</f>
        <v>0.0679378221197159</v>
      </c>
      <c r="R56" s="9" t="n">
        <f aca="false">R$5*(1+A_pore*R$6*($A56/100))/(1-R$6*(1+((1-phimax_pore)/phimax_pore^2)*($A56/100))*($A56/100))</f>
        <v>0.0697999113565073</v>
      </c>
      <c r="S56" s="9" t="n">
        <f aca="false">S$5*(1+A_pore*S$6*($A56/100))/(1-S$6*(1+((1-phimax_pore)/phimax_pore^2)*($A56/100))*($A56/100))</f>
        <v>0.0718028152421778</v>
      </c>
      <c r="T56" s="9" t="n">
        <f aca="false">T$5*(1+A_pore*T$6*($A56/100))/(1-T$6*(1+((1-phimax_pore)/phimax_pore^2)*($A56/100))*($A56/100))</f>
        <v>0.0739700611642568</v>
      </c>
      <c r="U56" s="9" t="n">
        <f aca="false">U$5*(1+A_pore*U$6*($A56/100))/(1-U$6*(1+((1-phimax_pore)/phimax_pore^2)*($A56/100))*($A56/100))</f>
        <v>0.0763300961198752</v>
      </c>
      <c r="V56" s="9" t="n">
        <f aca="false">V$5*(1+A_pore*V$6*($A56/100))/(1-V$6*(1+((1-phimax_pore)/phimax_pore^2)*($A56/100))*($A56/100))</f>
        <v>0.0789177191366082</v>
      </c>
      <c r="W56" s="9" t="n">
        <f aca="false">W$5*(1+A_pore*W$6*($A56/100))/(1-W$6*(1+((1-phimax_pore)/phimax_pore^2)*($A56/100))*($A56/100))</f>
        <v>0.0817760335020476</v>
      </c>
      <c r="X56" s="9" t="n">
        <f aca="false">X$5*(1+A_pore*X$6*($A56/100))/(1-X$6*(1+((1-phimax_pore)/phimax_pore^2)*($A56/100))*($A56/100))</f>
        <v>0.0849591550257202</v>
      </c>
      <c r="Y56" s="9" t="n">
        <f aca="false">Y$5*(1+A_pore*Y$6*($A56/100))/(1-Y$6*(1+((1-phimax_pore)/phimax_pore^2)*($A56/100))*($A56/100))</f>
        <v>0.0885360433732642</v>
      </c>
      <c r="Z56" s="9" t="n">
        <f aca="false">Z$5*(1+A_pore*Z$6*($A56/100))/(1-Z$6*(1+((1-phimax_pore)/phimax_pore^2)*($A56/100))*($A56/100))</f>
        <v>0.0925960419731242</v>
      </c>
      <c r="AA56" s="9" t="n">
        <f aca="false">AA$5*(1+A_pore*AA$6*($A56/100))/(1-AA$6*(1+((1-phimax_pore)/phimax_pore^2)*($A56/100))*($A56/100))</f>
        <v>0.0972570885719963</v>
      </c>
      <c r="AB56" s="9" t="n">
        <f aca="false">AB$5*(1+A_pore*AB$6*($A56/100))/(1-AB$6*(1+((1-phimax_pore)/phimax_pore^2)*($A56/100))*($A56/100))</f>
        <v>0.102678231463744</v>
      </c>
      <c r="AC56" s="9" t="n">
        <f aca="false">AC$5*(1+A_pore*AC$6*($A56/100))/(1-AC$6*(1+((1-phimax_pore)/phimax_pore^2)*($A56/100))*($A56/100))</f>
        <v>0.109079339722855</v>
      </c>
      <c r="AD56" s="9" t="n">
        <f aca="false">AD$5*(1+A_pore*AD$6*($A56/100))/(1-AD$6*(1+((1-phimax_pore)/phimax_pore^2)*($A56/100))*($A56/100))</f>
        <v>0.116773344476243</v>
      </c>
      <c r="AE56" s="9" t="n">
        <f aca="false">AE$5*(1+A_pore*AE$6*($A56/100))/(1-AE$6*(1+((1-phimax_pore)/phimax_pore^2)*($A56/100))*($A56/100))</f>
        <v>0.126221409348308</v>
      </c>
      <c r="AF56" s="9" t="n">
        <f aca="false">AF$5*(1+A_pore*AF$6*($A56/100))/(1-AF$6*(1+((1-phimax_pore)/phimax_pore^2)*($A56/100))*($A56/100))</f>
        <v>0.13813261484957</v>
      </c>
      <c r="AG56" s="9" t="n">
        <f aca="false">AG$5*(1+A_pore*AG$6*($A56/100))/(1-AG$6*(1+((1-phimax_pore)/phimax_pore^2)*($A56/100))*($A56/100))</f>
        <v>0.153656571136285</v>
      </c>
      <c r="AH56" s="9" t="n">
        <f aca="false">AH$5*(1+A_pore*AH$6*($A56/100))/(1-AH$6*(1+((1-phimax_pore)/phimax_pore^2)*($A56/100))*($A56/100))</f>
        <v>0.174788622523983</v>
      </c>
      <c r="AI56" s="9" t="n">
        <f aca="false">AI$5*(1+A_pore*AI$6*($A56/100))/(1-AI$6*(1+((1-phimax_pore)/phimax_pore^2)*($A56/100))*($A56/100))</f>
        <v>0.205323107209641</v>
      </c>
      <c r="AJ56" s="9" t="n">
        <f aca="false">AJ$5*(1+A_pore*AJ$6*($A56/100))/(1-AJ$6*(1+((1-phimax_pore)/phimax_pore^2)*($A56/100))*($A56/100))</f>
        <v>0.253471172690471</v>
      </c>
      <c r="AK56" s="9" t="n">
        <f aca="false">AK$5*(1+A_pore*AK$6*($A56/100))/(1-AK$6*(1+((1-phimax_pore)/phimax_pore^2)*($A56/100))*($A56/100))</f>
        <v>0.340926191816994</v>
      </c>
    </row>
    <row r="57" customFormat="false" ht="15" hidden="false" customHeight="false" outlineLevel="0" collapsed="false">
      <c r="A57" s="4" t="n">
        <v>48</v>
      </c>
      <c r="B57" s="9" t="n">
        <f aca="false">B$5*(1+A_pore*B$6*($A57/100))/(1-B$6*(1+((1-phimax_pore)/phimax_pore^2)*($A57/100))*($A57/100))</f>
        <v>0.0474277469143926</v>
      </c>
      <c r="C57" s="9" t="n">
        <f aca="false">C$5*(1+A_pore*C$6*($A57/100))/(1-C$6*(1+((1-phimax_pore)/phimax_pore^2)*($A57/100))*($A57/100))</f>
        <v>0.0485276363146949</v>
      </c>
      <c r="D57" s="9" t="n">
        <f aca="false">D$5*(1+A_pore*D$6*($A57/100))/(1-D$6*(1+((1-phimax_pore)/phimax_pore^2)*($A57/100))*($A57/100))</f>
        <v>0.0496243067019268</v>
      </c>
      <c r="E57" s="9" t="n">
        <f aca="false">E$5*(1+A_pore*E$6*($A57/100))/(1-E$6*(1+((1-phimax_pore)/phimax_pore^2)*($A57/100))*($A57/100))</f>
        <v>0.0507239515147223</v>
      </c>
      <c r="F57" s="9" t="n">
        <f aca="false">F$5*(1+A_pore*F$6*($A57/100))/(1-F$6*(1+((1-phimax_pore)/phimax_pore^2)*($A57/100))*($A57/100))</f>
        <v>0.0518325430202226</v>
      </c>
      <c r="G57" s="9" t="n">
        <f aca="false">G$5*(1+A_pore*G$6*($A57/100))/(1-G$6*(1+((1-phimax_pore)/phimax_pore^2)*($A57/100))*($A57/100))</f>
        <v>0.0529559701407916</v>
      </c>
      <c r="H57" s="9" t="n">
        <f aca="false">H$5*(1+A_pore*H$6*($A57/100))/(1-H$6*(1+((1-phimax_pore)/phimax_pore^2)*($A57/100))*($A57/100))</f>
        <v>0.0541001668740065</v>
      </c>
      <c r="I57" s="9" t="n">
        <f aca="false">I$5*(1+A_pore*I$6*($A57/100))/(1-I$6*(1+((1-phimax_pore)/phimax_pore^2)*($A57/100))*($A57/100))</f>
        <v>0.055271237522156</v>
      </c>
      <c r="J57" s="9" t="n">
        <f aca="false">J$5*(1+A_pore*J$6*($A57/100))/(1-J$6*(1+((1-phimax_pore)/phimax_pore^2)*($A57/100))*($A57/100))</f>
        <v>0.0564755844578905</v>
      </c>
      <c r="K57" s="9" t="n">
        <f aca="false">K$5*(1+A_pore*K$6*($A57/100))/(1-K$6*(1+((1-phimax_pore)/phimax_pore^2)*($A57/100))*($A57/100))</f>
        <v>0.0577200441268284</v>
      </c>
      <c r="L57" s="9" t="n">
        <f aca="false">L$5*(1+A_pore*L$6*($A57/100))/(1-L$6*(1+((1-phimax_pore)/phimax_pore^2)*($A57/100))*($A57/100))</f>
        <v>0.0590120374052275</v>
      </c>
      <c r="M57" s="9" t="n">
        <f aca="false">M$5*(1+A_pore*M$6*($A57/100))/(1-M$6*(1+((1-phimax_pore)/phimax_pore^2)*($A57/100))*($A57/100))</f>
        <v>0.0603597413242421</v>
      </c>
      <c r="N57" s="9" t="n">
        <f aca="false">N$5*(1+A_pore*N$6*($A57/100))/(1-N$6*(1+((1-phimax_pore)/phimax_pore^2)*($A57/100))*($A57/100))</f>
        <v>0.0617722906320523</v>
      </c>
      <c r="O57" s="9" t="n">
        <f aca="false">O$5*(1+A_pore*O$6*($A57/100))/(1-O$6*(1+((1-phimax_pore)/phimax_pore^2)*($A57/100))*($A57/100))</f>
        <v>0.0632600198522727</v>
      </c>
      <c r="P57" s="9" t="n">
        <f aca="false">P$5*(1+A_pore*P$6*($A57/100))/(1-P$6*(1+((1-phimax_pore)/phimax_pore^2)*($A57/100))*($A57/100))</f>
        <v>0.0648347596695629</v>
      </c>
      <c r="Q57" s="9" t="n">
        <f aca="false">Q$5*(1+A_pore*Q$6*($A57/100))/(1-Q$6*(1+((1-phimax_pore)/phimax_pore^2)*($A57/100))*($A57/100))</f>
        <v>0.0665102060313217</v>
      </c>
      <c r="R57" s="9" t="n">
        <f aca="false">R$5*(1+A_pore*R$6*($A57/100))/(1-R$6*(1+((1-phimax_pore)/phimax_pore^2)*($A57/100))*($A57/100))</f>
        <v>0.0683023869143943</v>
      </c>
      <c r="S57" s="9" t="n">
        <f aca="false">S$5*(1+A_pore*S$6*($A57/100))/(1-S$6*(1+((1-phimax_pore)/phimax_pore^2)*($A57/100))*($A57/100))</f>
        <v>0.0702302612248212</v>
      </c>
      <c r="T57" s="9" t="n">
        <f aca="false">T$5*(1+A_pore*T$6*($A57/100))/(1-T$6*(1+((1-phimax_pore)/phimax_pore^2)*($A57/100))*($A57/100))</f>
        <v>0.0723164982816461</v>
      </c>
      <c r="U57" s="9" t="n">
        <f aca="false">U$5*(1+A_pore*U$6*($A57/100))/(1-U$6*(1+((1-phimax_pore)/phimax_pore^2)*($A57/100))*($A57/100))</f>
        <v>0.074588507190167</v>
      </c>
      <c r="V57" s="9" t="n">
        <f aca="false">V$5*(1+A_pore*V$6*($A57/100))/(1-V$6*(1+((1-phimax_pore)/phimax_pore^2)*($A57/100))*($A57/100))</f>
        <v>0.0770798170657322</v>
      </c>
      <c r="W57" s="9" t="n">
        <f aca="false">W$5*(1+A_pore*W$6*($A57/100))/(1-W$6*(1+((1-phimax_pore)/phimax_pore^2)*($A57/100))*($A57/100))</f>
        <v>0.0798319580892298</v>
      </c>
      <c r="X57" s="9" t="n">
        <f aca="false">X$5*(1+A_pore*X$6*($A57/100))/(1-X$6*(1+((1-phimax_pore)/phimax_pore^2)*($A57/100))*($A57/100))</f>
        <v>0.0828970710019169</v>
      </c>
      <c r="Y57" s="9" t="n">
        <f aca="false">Y$5*(1+A_pore*Y$6*($A57/100))/(1-Y$6*(1+((1-phimax_pore)/phimax_pore^2)*($A57/100))*($A57/100))</f>
        <v>0.0863415986903189</v>
      </c>
      <c r="Z57" s="9" t="n">
        <f aca="false">Z$5*(1+A_pore*Z$6*($A57/100))/(1-Z$6*(1+((1-phimax_pore)/phimax_pore^2)*($A57/100))*($A57/100))</f>
        <v>0.0902516240015772</v>
      </c>
      <c r="AA57" s="9" t="n">
        <f aca="false">AA$5*(1+A_pore*AA$6*($A57/100))/(1-AA$6*(1+((1-phimax_pore)/phimax_pore^2)*($A57/100))*($A57/100))</f>
        <v>0.0947407807662824</v>
      </c>
      <c r="AB57" s="9" t="n">
        <f aca="false">AB$5*(1+A_pore*AB$6*($A57/100))/(1-AB$6*(1+((1-phimax_pore)/phimax_pore^2)*($A57/100))*($A57/100))</f>
        <v>0.099962313402222</v>
      </c>
      <c r="AC57" s="9" t="n">
        <f aca="false">AC$5*(1+A_pore*AC$6*($A57/100))/(1-AC$6*(1+((1-phimax_pore)/phimax_pore^2)*($A57/100))*($A57/100))</f>
        <v>0.106128068052975</v>
      </c>
      <c r="AD57" s="9" t="n">
        <f aca="false">AD$5*(1+A_pore*AD$6*($A57/100))/(1-AD$6*(1+((1-phimax_pore)/phimax_pore^2)*($A57/100))*($A57/100))</f>
        <v>0.113539557579382</v>
      </c>
      <c r="AE57" s="9" t="n">
        <f aca="false">AE$5*(1+A_pore*AE$6*($A57/100))/(1-AE$6*(1+((1-phimax_pore)/phimax_pore^2)*($A57/100))*($A57/100))</f>
        <v>0.122641119173619</v>
      </c>
      <c r="AF57" s="9" t="n">
        <f aca="false">AF$5*(1+A_pore*AF$6*($A57/100))/(1-AF$6*(1+((1-phimax_pore)/phimax_pore^2)*($A57/100))*($A57/100))</f>
        <v>0.13411596186756</v>
      </c>
      <c r="AG57" s="9" t="n">
        <f aca="false">AG$5*(1+A_pore*AG$6*($A57/100))/(1-AG$6*(1+((1-phimax_pore)/phimax_pore^2)*($A57/100))*($A57/100))</f>
        <v>0.14907175201061</v>
      </c>
      <c r="AH57" s="9" t="n">
        <f aca="false">AH$5*(1+A_pore*AH$6*($A57/100))/(1-AH$6*(1+((1-phimax_pore)/phimax_pore^2)*($A57/100))*($A57/100))</f>
        <v>0.169431034299843</v>
      </c>
      <c r="AI57" s="9" t="n">
        <f aca="false">AI$5*(1+A_pore*AI$6*($A57/100))/(1-AI$6*(1+((1-phimax_pore)/phimax_pore^2)*($A57/100))*($A57/100))</f>
        <v>0.198849712764521</v>
      </c>
      <c r="AJ57" s="9" t="n">
        <f aca="false">AJ$5*(1+A_pore*AJ$6*($A57/100))/(1-AJ$6*(1+((1-phimax_pore)/phimax_pore^2)*($A57/100))*($A57/100))</f>
        <v>0.245239357775441</v>
      </c>
      <c r="AK57" s="9" t="n">
        <f aca="false">AK$5*(1+A_pore*AK$6*($A57/100))/(1-AK$6*(1+((1-phimax_pore)/phimax_pore^2)*($A57/100))*($A57/100))</f>
        <v>0.329501879345869</v>
      </c>
    </row>
    <row r="58" customFormat="false" ht="15" hidden="false" customHeight="false" outlineLevel="0" collapsed="false">
      <c r="A58" s="4" t="n">
        <v>49</v>
      </c>
      <c r="B58" s="9" t="n">
        <f aca="false">B$5*(1+A_pore*B$6*($A58/100))/(1-B$6*(1+((1-phimax_pore)/phimax_pore^2)*($A58/100))*($A58/100))</f>
        <v>0.0467677502577228</v>
      </c>
      <c r="C58" s="9" t="n">
        <f aca="false">C$5*(1+A_pore*C$6*($A58/100))/(1-C$6*(1+((1-phimax_pore)/phimax_pore^2)*($A58/100))*($A58/100))</f>
        <v>0.0478260661757251</v>
      </c>
      <c r="D58" s="9" t="n">
        <f aca="false">D$5*(1+A_pore*D$6*($A58/100))/(1-D$6*(1+((1-phimax_pore)/phimax_pore^2)*($A58/100))*($A58/100))</f>
        <v>0.0488811087082917</v>
      </c>
      <c r="E58" s="9" t="n">
        <f aca="false">E$5*(1+A_pore*E$6*($A58/100))/(1-E$6*(1+((1-phimax_pore)/phimax_pore^2)*($A58/100))*($A58/100))</f>
        <v>0.0499388894538412</v>
      </c>
      <c r="F58" s="9" t="n">
        <f aca="false">F$5*(1+A_pore*F$6*($A58/100))/(1-F$6*(1+((1-phimax_pore)/phimax_pore^2)*($A58/100))*($A58/100))</f>
        <v>0.0510051968294348</v>
      </c>
      <c r="G58" s="9" t="n">
        <f aca="false">G$5*(1+A_pore*G$6*($A58/100))/(1-G$6*(1+((1-phimax_pore)/phimax_pore^2)*($A58/100))*($A58/100))</f>
        <v>0.0520857312293666</v>
      </c>
      <c r="H58" s="9" t="n">
        <f aca="false">H$5*(1+A_pore*H$6*($A58/100))/(1-H$6*(1+((1-phimax_pore)/phimax_pore^2)*($A58/100))*($A58/100))</f>
        <v>0.053186230523194</v>
      </c>
      <c r="I58" s="9" t="n">
        <f aca="false">I$5*(1+A_pore*I$6*($A58/100))/(1-I$6*(1+((1-phimax_pore)/phimax_pore^2)*($A58/100))*($A58/100))</f>
        <v>0.0543125920448493</v>
      </c>
      <c r="J58" s="9" t="n">
        <f aca="false">J$5*(1+A_pore*J$6*($A58/100))/(1-J$6*(1+((1-phimax_pore)/phimax_pore^2)*($A58/100))*($A58/100))</f>
        <v>0.0554709967053343</v>
      </c>
      <c r="K58" s="9" t="n">
        <f aca="false">K$5*(1+A_pore*K$6*($A58/100))/(1-K$6*(1+((1-phimax_pore)/phimax_pore^2)*($A58/100))*($A58/100))</f>
        <v>0.0566680408039511</v>
      </c>
      <c r="L58" s="9" t="n">
        <f aca="false">L$5*(1+A_pore*L$6*($A58/100))/(1-L$6*(1+((1-phimax_pore)/phimax_pore^2)*($A58/100))*($A58/100))</f>
        <v>0.0579108814922983</v>
      </c>
      <c r="M58" s="9" t="n">
        <f aca="false">M$5*(1+A_pore*M$6*($A58/100))/(1-M$6*(1+((1-phimax_pore)/phimax_pore^2)*($A58/100))*($A58/100))</f>
        <v>0.059207402689987</v>
      </c>
      <c r="N58" s="9" t="n">
        <f aca="false">N$5*(1+A_pore*N$6*($A58/100))/(1-N$6*(1+((1-phimax_pore)/phimax_pore^2)*($A58/100))*($A58/100))</f>
        <v>0.0605664096460133</v>
      </c>
      <c r="O58" s="9" t="n">
        <f aca="false">O$5*(1+A_pore*O$6*($A58/100))/(1-O$6*(1+((1-phimax_pore)/phimax_pore^2)*($A58/100))*($A58/100))</f>
        <v>0.06199786243871</v>
      </c>
      <c r="P58" s="9" t="n">
        <f aca="false">P$5*(1+A_pore*P$6*($A58/100))/(1-P$6*(1+((1-phimax_pore)/phimax_pore^2)*($A58/100))*($A58/100))</f>
        <v>0.0635131617578237</v>
      </c>
      <c r="Q58" s="9" t="n">
        <f aca="false">Q$5*(1+A_pore*Q$6*($A58/100))/(1-Q$6*(1+((1-phimax_pore)/phimax_pore^2)*($A58/100))*($A58/100))</f>
        <v>0.0651255046993241</v>
      </c>
      <c r="R58" s="9" t="n">
        <f aca="false">R$5*(1+A_pore*R$6*($A58/100))/(1-R$6*(1+((1-phimax_pore)/phimax_pore^2)*($A58/100))*($A58/100))</f>
        <v>0.0668503346206939</v>
      </c>
      <c r="S58" s="9" t="n">
        <f aca="false">S$5*(1+A_pore*S$6*($A58/100))/(1-S$6*(1+((1-phimax_pore)/phimax_pore^2)*($A58/100))*($A58/100))</f>
        <v>0.0687059182733755</v>
      </c>
      <c r="T58" s="9" t="n">
        <f aca="false">T$5*(1+A_pore*T$6*($A58/100))/(1-T$6*(1+((1-phimax_pore)/phimax_pore^2)*($A58/100))*($A58/100))</f>
        <v>0.0707140968993806</v>
      </c>
      <c r="U58" s="9" t="n">
        <f aca="false">U$5*(1+A_pore*U$6*($A58/100))/(1-U$6*(1+((1-phimax_pore)/phimax_pore^2)*($A58/100))*($A58/100))</f>
        <v>0.0729012780701988</v>
      </c>
      <c r="V58" s="9" t="n">
        <f aca="false">V$5*(1+A_pore*V$6*($A58/100))/(1-V$6*(1+((1-phimax_pore)/phimax_pore^2)*($A58/100))*($A58/100))</f>
        <v>0.0752997655443274</v>
      </c>
      <c r="W58" s="9" t="n">
        <f aca="false">W$5*(1+A_pore*W$6*($A58/100))/(1-W$6*(1+((1-phimax_pore)/phimax_pore^2)*($A58/100))*($A58/100))</f>
        <v>0.0779495716481466</v>
      </c>
      <c r="X58" s="9" t="n">
        <f aca="false">X$5*(1+A_pore*X$6*($A58/100))/(1-X$6*(1+((1-phimax_pore)/phimax_pore^2)*($A58/100))*($A58/100))</f>
        <v>0.0809009314748025</v>
      </c>
      <c r="Y58" s="9" t="n">
        <f aca="false">Y$5*(1+A_pore*Y$6*($A58/100))/(1-Y$6*(1+((1-phimax_pore)/phimax_pore^2)*($A58/100))*($A58/100))</f>
        <v>0.0842178596336188</v>
      </c>
      <c r="Z58" s="9" t="n">
        <f aca="false">Z$5*(1+A_pore*Z$6*($A58/100))/(1-Z$6*(1+((1-phimax_pore)/phimax_pore^2)*($A58/100))*($A58/100))</f>
        <v>0.0879832930819833</v>
      </c>
      <c r="AA58" s="9" t="n">
        <f aca="false">AA$5*(1+A_pore*AA$6*($A58/100))/(1-AA$6*(1+((1-phimax_pore)/phimax_pore^2)*($A58/100))*($A58/100))</f>
        <v>0.0923067131524515</v>
      </c>
      <c r="AB58" s="9" t="n">
        <f aca="false">AB$5*(1+A_pore*AB$6*($A58/100))/(1-AB$6*(1+((1-phimax_pore)/phimax_pore^2)*($A58/100))*($A58/100))</f>
        <v>0.0973357645959932</v>
      </c>
      <c r="AC58" s="9" t="n">
        <f aca="false">AC$5*(1+A_pore*AC$6*($A58/100))/(1-AC$6*(1+((1-phimax_pore)/phimax_pore^2)*($A58/100))*($A58/100))</f>
        <v>0.103274552925886</v>
      </c>
      <c r="AD58" s="9" t="n">
        <f aca="false">AD$5*(1+A_pore*AD$6*($A58/100))/(1-AD$6*(1+((1-phimax_pore)/phimax_pore^2)*($A58/100))*($A58/100))</f>
        <v>0.110413574515647</v>
      </c>
      <c r="AE58" s="9" t="n">
        <f aca="false">AE$5*(1+A_pore*AE$6*($A58/100))/(1-AE$6*(1+((1-phimax_pore)/phimax_pore^2)*($A58/100))*($A58/100))</f>
        <v>0.119180932203713</v>
      </c>
      <c r="AF58" s="9" t="n">
        <f aca="false">AF$5*(1+A_pore*AF$6*($A58/100))/(1-AF$6*(1+((1-phimax_pore)/phimax_pore^2)*($A58/100))*($A58/100))</f>
        <v>0.13023487388654</v>
      </c>
      <c r="AG58" s="9" t="n">
        <f aca="false">AG$5*(1+A_pore*AG$6*($A58/100))/(1-AG$6*(1+((1-phimax_pore)/phimax_pore^2)*($A58/100))*($A58/100))</f>
        <v>0.14464259797324</v>
      </c>
      <c r="AH58" s="9" t="n">
        <f aca="false">AH$5*(1+A_pore*AH$6*($A58/100))/(1-AH$6*(1+((1-phimax_pore)/phimax_pore^2)*($A58/100))*($A58/100))</f>
        <v>0.16425641109795</v>
      </c>
      <c r="AI58" s="9" t="n">
        <f aca="false">AI$5*(1+A_pore*AI$6*($A58/100))/(1-AI$6*(1+((1-phimax_pore)/phimax_pore^2)*($A58/100))*($A58/100))</f>
        <v>0.192598654078143</v>
      </c>
      <c r="AJ58" s="9" t="n">
        <f aca="false">AJ$5*(1+A_pore*AJ$6*($A58/100))/(1-AJ$6*(1+((1-phimax_pore)/phimax_pore^2)*($A58/100))*($A58/100))</f>
        <v>0.237291861038101</v>
      </c>
      <c r="AK58" s="9" t="n">
        <f aca="false">AK$5*(1+A_pore*AK$6*($A58/100))/(1-AK$6*(1+((1-phimax_pore)/phimax_pore^2)*($A58/100))*($A58/100))</f>
        <v>0.318474327350883</v>
      </c>
    </row>
    <row r="59" customFormat="false" ht="15" hidden="false" customHeight="false" outlineLevel="0" collapsed="false">
      <c r="A59" s="4" t="n">
        <v>50</v>
      </c>
      <c r="B59" s="9" t="n">
        <f aca="false">B$5*(1+A_pore*B$6*($A59/100))/(1-B$6*(1+((1-phimax_pore)/phimax_pore^2)*($A59/100))*($A59/100))</f>
        <v>0.0461227733132852</v>
      </c>
      <c r="C59" s="9" t="n">
        <f aca="false">C$5*(1+A_pore*C$6*($A59/100))/(1-C$6*(1+((1-phimax_pore)/phimax_pore^2)*($A59/100))*($A59/100))</f>
        <v>0.0471409459533394</v>
      </c>
      <c r="D59" s="9" t="n">
        <f aca="false">D$5*(1+A_pore*D$6*($A59/100))/(1-D$6*(1+((1-phimax_pore)/phimax_pore^2)*($A59/100))*($A59/100))</f>
        <v>0.0481558118692746</v>
      </c>
      <c r="E59" s="9" t="n">
        <f aca="false">E$5*(1+A_pore*E$6*($A59/100))/(1-E$6*(1+((1-phimax_pore)/phimax_pore^2)*($A59/100))*($A59/100))</f>
        <v>0.0491732036663978</v>
      </c>
      <c r="F59" s="9" t="n">
        <f aca="false">F$5*(1+A_pore*F$6*($A59/100))/(1-F$6*(1+((1-phimax_pore)/phimax_pore^2)*($A59/100))*($A59/100))</f>
        <v>0.0501987294695664</v>
      </c>
      <c r="G59" s="9" t="n">
        <f aca="false">G$5*(1+A_pore*G$6*($A59/100))/(1-G$6*(1+((1-phimax_pore)/phimax_pore^2)*($A59/100))*($A59/100))</f>
        <v>0.0512379053785444</v>
      </c>
      <c r="H59" s="9" t="n">
        <f aca="false">H$5*(1+A_pore*H$6*($A59/100))/(1-H$6*(1+((1-phimax_pore)/phimax_pore^2)*($A59/100))*($A59/100))</f>
        <v>0.0522962780450528</v>
      </c>
      <c r="I59" s="9" t="n">
        <f aca="false">I$5*(1+A_pore*I$6*($A59/100))/(1-I$6*(1+((1-phimax_pore)/phimax_pore^2)*($A59/100))*($A59/100))</f>
        <v>0.0533795434545464</v>
      </c>
      <c r="J59" s="9" t="n">
        <f aca="false">J$5*(1+A_pore*J$6*($A59/100))/(1-J$6*(1+((1-phimax_pore)/phimax_pore^2)*($A59/100))*($A59/100))</f>
        <v>0.0544936674495961</v>
      </c>
      <c r="K59" s="9" t="n">
        <f aca="false">K$5*(1+A_pore*K$6*($A59/100))/(1-K$6*(1+((1-phimax_pore)/phimax_pore^2)*($A59/100))*($A59/100))</f>
        <v>0.0556450134447107</v>
      </c>
      <c r="L59" s="9" t="n">
        <f aca="false">L$5*(1+A_pore*L$6*($A59/100))/(1-L$6*(1+((1-phimax_pore)/phimax_pore^2)*($A59/100))*($A59/100))</f>
        <v>0.0568404831258593</v>
      </c>
      <c r="M59" s="9" t="n">
        <f aca="false">M$5*(1+A_pore*M$6*($A59/100))/(1-M$6*(1+((1-phimax_pore)/phimax_pore^2)*($A59/100))*($A59/100))</f>
        <v>0.0580876767263004</v>
      </c>
      <c r="N59" s="9" t="n">
        <f aca="false">N$5*(1+A_pore*N$6*($A59/100))/(1-N$6*(1+((1-phimax_pore)/phimax_pore^2)*($A59/100))*($A59/100))</f>
        <v>0.0593950808032642</v>
      </c>
      <c r="O59" s="9" t="n">
        <f aca="false">O$5*(1+A_pore*O$6*($A59/100))/(1-O$6*(1+((1-phimax_pore)/phimax_pore^2)*($A59/100))*($A59/100))</f>
        <v>0.0607722934542872</v>
      </c>
      <c r="P59" s="9" t="n">
        <f aca="false">P$5*(1+A_pore*P$6*($A59/100))/(1-P$6*(1+((1-phimax_pore)/phimax_pore^2)*($A59/100))*($A59/100))</f>
        <v>0.0622302998452365</v>
      </c>
      <c r="Q59" s="9" t="n">
        <f aca="false">Q$5*(1+A_pore*Q$6*($A59/100))/(1-Q$6*(1+((1-phimax_pore)/phimax_pore^2)*($A59/100))*($A59/100))</f>
        <v>0.0637818151443392</v>
      </c>
      <c r="R59" s="9" t="n">
        <f aca="false">R$5*(1+A_pore*R$6*($A59/100))/(1-R$6*(1+((1-phimax_pore)/phimax_pore^2)*($A59/100))*($A59/100))</f>
        <v>0.0654417180393416</v>
      </c>
      <c r="S59" s="9" t="n">
        <f aca="false">S$5*(1+A_pore*S$6*($A59/100))/(1-S$6*(1+((1-phimax_pore)/phimax_pore^2)*($A59/100))*($A59/100))</f>
        <v>0.0672276068459104</v>
      </c>
      <c r="T59" s="9" t="n">
        <f aca="false">T$5*(1+A_pore*T$6*($A59/100))/(1-T$6*(1+((1-phimax_pore)/phimax_pore^2)*($A59/100))*($A59/100))</f>
        <v>0.0691605231908949</v>
      </c>
      <c r="U59" s="9" t="n">
        <f aca="false">U$5*(1+A_pore*U$6*($A59/100))/(1-U$6*(1+((1-phimax_pore)/phimax_pore^2)*($A59/100))*($A59/100))</f>
        <v>0.071265907608425</v>
      </c>
      <c r="V59" s="9" t="n">
        <f aca="false">V$5*(1+A_pore*V$6*($A59/100))/(1-V$6*(1+((1-phimax_pore)/phimax_pore^2)*($A59/100))*($A59/100))</f>
        <v>0.0735748807675788</v>
      </c>
      <c r="W59" s="9" t="n">
        <f aca="false">W$5*(1+A_pore*W$6*($A59/100))/(1-W$6*(1+((1-phimax_pore)/phimax_pore^2)*($A59/100))*($A59/100))</f>
        <v>0.0761259895491061</v>
      </c>
      <c r="X59" s="9" t="n">
        <f aca="false">X$5*(1+A_pore*X$6*($A59/100))/(1-X$6*(1+((1-phimax_pore)/phimax_pore^2)*($A59/100))*($A59/100))</f>
        <v>0.0789676292402139</v>
      </c>
      <c r="Y59" s="9" t="n">
        <f aca="false">Y$5*(1+A_pore*Y$6*($A59/100))/(1-Y$6*(1+((1-phimax_pore)/phimax_pore^2)*($A59/100))*($A59/100))</f>
        <v>0.0821614701083459</v>
      </c>
      <c r="Z59" s="9" t="n">
        <f aca="false">Z$5*(1+A_pore*Z$6*($A59/100))/(1-Z$6*(1+((1-phimax_pore)/phimax_pore^2)*($A59/100))*($A59/100))</f>
        <v>0.0857874119900541</v>
      </c>
      <c r="AA59" s="9" t="n">
        <f aca="false">AA$5*(1+A_pore*AA$6*($A59/100))/(1-AA$6*(1+((1-phimax_pore)/phimax_pore^2)*($A59/100))*($A59/100))</f>
        <v>0.0899509273144465</v>
      </c>
      <c r="AB59" s="9" t="n">
        <f aca="false">AB$5*(1+A_pore*AB$6*($A59/100))/(1-AB$6*(1+((1-phimax_pore)/phimax_pore^2)*($A59/100))*($A59/100))</f>
        <v>0.0947942548198824</v>
      </c>
      <c r="AC59" s="9" t="n">
        <f aca="false">AC$5*(1+A_pore*AC$6*($A59/100))/(1-AC$6*(1+((1-phimax_pore)/phimax_pore^2)*($A59/100))*($A59/100))</f>
        <v>0.100514027094932</v>
      </c>
      <c r="AD59" s="9" t="n">
        <f aca="false">AD$5*(1+A_pore*AD$6*($A59/100))/(1-AD$6*(1+((1-phimax_pore)/phimax_pore^2)*($A59/100))*($A59/100))</f>
        <v>0.107390105029176</v>
      </c>
      <c r="AE59" s="9" t="n">
        <f aca="false">AE$5*(1+A_pore*AE$6*($A59/100))/(1-AE$6*(1+((1-phimax_pore)/phimax_pore^2)*($A59/100))*($A59/100))</f>
        <v>0.11583491856733</v>
      </c>
      <c r="AF59" s="9" t="n">
        <f aca="false">AF$5*(1+A_pore*AF$6*($A59/100))/(1-AF$6*(1+((1-phimax_pore)/phimax_pore^2)*($A59/100))*($A59/100))</f>
        <v>0.126482617733914</v>
      </c>
      <c r="AG59" s="9" t="n">
        <f aca="false">AG$5*(1+A_pore*AG$6*($A59/100))/(1-AG$6*(1+((1-phimax_pore)/phimax_pore^2)*($A59/100))*($A59/100))</f>
        <v>0.14036133253535</v>
      </c>
      <c r="AH59" s="9" t="n">
        <f aca="false">AH$5*(1+A_pore*AH$6*($A59/100))/(1-AH$6*(1+((1-phimax_pore)/phimax_pore^2)*($A59/100))*($A59/100))</f>
        <v>0.159255560617682</v>
      </c>
      <c r="AI59" s="9" t="n">
        <f aca="false">AI$5*(1+A_pore*AI$6*($A59/100))/(1-AI$6*(1+((1-phimax_pore)/phimax_pore^2)*($A59/100))*($A59/100))</f>
        <v>0.186558698620836</v>
      </c>
      <c r="AJ59" s="9" t="n">
        <f aca="false">AJ$5*(1+A_pore*AJ$6*($A59/100))/(1-AJ$6*(1+((1-phimax_pore)/phimax_pore^2)*($A59/100))*($A59/100))</f>
        <v>0.229614240136326</v>
      </c>
      <c r="AK59" s="9" t="n">
        <f aca="false">AK$5*(1+A_pore*AK$6*($A59/100))/(1-AK$6*(1+((1-phimax_pore)/phimax_pore^2)*($A59/100))*($A59/100))</f>
        <v>0.307823273807085</v>
      </c>
    </row>
    <row r="60" customFormat="false" ht="15" hidden="false" customHeight="false" outlineLevel="0" collapsed="false">
      <c r="A60" s="4" t="n">
        <v>51</v>
      </c>
      <c r="B60" s="9" t="n">
        <f aca="false">B$5*(1+A_pore*B$6*($A60/100))/(1-B$6*(1+((1-phimax_pore)/phimax_pore^2)*($A60/100))*($A60/100))</f>
        <v>0.0454923099043999</v>
      </c>
      <c r="C60" s="9" t="n">
        <f aca="false">C$5*(1+A_pore*C$6*($A60/100))/(1-C$6*(1+((1-phimax_pore)/phimax_pore^2)*($A60/100))*($A60/100))</f>
        <v>0.0464717046625782</v>
      </c>
      <c r="D60" s="9" t="n">
        <f aca="false">D$5*(1+A_pore*D$6*($A60/100))/(1-D$6*(1+((1-phimax_pore)/phimax_pore^2)*($A60/100))*($A60/100))</f>
        <v>0.0474477780930124</v>
      </c>
      <c r="E60" s="9" t="n">
        <f aca="false">E$5*(1+A_pore*E$6*($A60/100))/(1-E$6*(1+((1-phimax_pore)/phimax_pore^2)*($A60/100))*($A60/100))</f>
        <v>0.0484261866498857</v>
      </c>
      <c r="F60" s="9" t="n">
        <f aca="false">F$5*(1+A_pore*F$6*($A60/100))/(1-F$6*(1+((1-phimax_pore)/phimax_pore^2)*($A60/100))*($A60/100))</f>
        <v>0.0494123616669672</v>
      </c>
      <c r="G60" s="9" t="n">
        <f aca="false">G$5*(1+A_pore*G$6*($A60/100))/(1-G$6*(1+((1-phimax_pore)/phimax_pore^2)*($A60/100))*($A60/100))</f>
        <v>0.0504116390775232</v>
      </c>
      <c r="H60" s="9" t="n">
        <f aca="false">H$5*(1+A_pore*H$6*($A60/100))/(1-H$6*(1+((1-phimax_pore)/phimax_pore^2)*($A60/100))*($A60/100))</f>
        <v>0.0514293790726308</v>
      </c>
      <c r="I60" s="9" t="n">
        <f aca="false">I$5*(1+A_pore*I$6*($A60/100))/(1-I$6*(1+((1-phimax_pore)/phimax_pore^2)*($A60/100))*($A60/100))</f>
        <v>0.0524710817083501</v>
      </c>
      <c r="J60" s="9" t="n">
        <f aca="false">J$5*(1+A_pore*J$6*($A60/100))/(1-J$6*(1+((1-phimax_pore)/phimax_pore^2)*($A60/100))*($A60/100))</f>
        <v>0.0535425039015095</v>
      </c>
      <c r="K60" s="9" t="n">
        <f aca="false">K$5*(1+A_pore*K$6*($A60/100))/(1-K$6*(1+((1-phimax_pore)/phimax_pore^2)*($A60/100))*($A60/100))</f>
        <v>0.0546497831394775</v>
      </c>
      <c r="L60" s="9" t="n">
        <f aca="false">L$5*(1+A_pore*L$6*($A60/100))/(1-L$6*(1+((1-phimax_pore)/phimax_pore^2)*($A60/100))*($A60/100))</f>
        <v>0.0557995735389464</v>
      </c>
      <c r="M60" s="9" t="n">
        <f aca="false">M$5*(1+A_pore*M$6*($A60/100))/(1-M$6*(1+((1-phimax_pore)/phimax_pore^2)*($A60/100))*($A60/100))</f>
        <v>0.0569992006429464</v>
      </c>
      <c r="N60" s="9" t="n">
        <f aca="false">N$5*(1+A_pore*N$6*($A60/100))/(1-N$6*(1+((1-phimax_pore)/phimax_pore^2)*($A60/100))*($A60/100))</f>
        <v>0.058256842618792</v>
      </c>
      <c r="O60" s="9" t="n">
        <f aca="false">O$5*(1+A_pore*O$6*($A60/100))/(1-O$6*(1+((1-phimax_pore)/phimax_pore^2)*($A60/100))*($A60/100))</f>
        <v>0.0595817474524365</v>
      </c>
      <c r="P60" s="9" t="n">
        <f aca="false">P$5*(1+A_pore*P$6*($A60/100))/(1-P$6*(1+((1-phimax_pore)/phimax_pore^2)*($A60/100))*($A60/100))</f>
        <v>0.0609844985548277</v>
      </c>
      <c r="Q60" s="9" t="n">
        <f aca="false">Q$5*(1+A_pore*Q$6*($A60/100))/(1-Q$6*(1+((1-phimax_pore)/phimax_pore^2)*($A60/100))*($A60/100))</f>
        <v>0.0624773452591681</v>
      </c>
      <c r="R60" s="9" t="n">
        <f aca="false">R$5*(1+A_pore*R$6*($A60/100))/(1-R$6*(1+((1-phimax_pore)/phimax_pore^2)*($A60/100))*($A60/100))</f>
        <v>0.0640746205445938</v>
      </c>
      <c r="S60" s="9" t="n">
        <f aca="false">S$5*(1+A_pore*S$6*($A60/100))/(1-S$6*(1+((1-phimax_pore)/phimax_pore^2)*($A60/100))*($A60/100))</f>
        <v>0.0657932768264408</v>
      </c>
      <c r="T60" s="9" t="n">
        <f aca="false">T$5*(1+A_pore*T$6*($A60/100))/(1-T$6*(1+((1-phimax_pore)/phimax_pore^2)*($A60/100))*($A60/100))</f>
        <v>0.0676535831508817</v>
      </c>
      <c r="U60" s="9" t="n">
        <f aca="false">U$5*(1+A_pore*U$6*($A60/100))/(1-U$6*(1+((1-phimax_pore)/phimax_pore^2)*($A60/100))*($A60/100))</f>
        <v>0.0696800457744155</v>
      </c>
      <c r="V60" s="9" t="n">
        <f aca="false">V$5*(1+A_pore*V$6*($A60/100))/(1-V$6*(1+((1-phimax_pore)/phimax_pore^2)*($A60/100))*($A60/100))</f>
        <v>0.0719026424100823</v>
      </c>
      <c r="W60" s="9" t="n">
        <f aca="false">W$5*(1+A_pore*W$6*($A60/100))/(1-W$6*(1+((1-phimax_pore)/phimax_pore^2)*($A60/100))*($A60/100))</f>
        <v>0.0743585042502276</v>
      </c>
      <c r="X60" s="9" t="n">
        <f aca="false">X$5*(1+A_pore*X$6*($A60/100))/(1-X$6*(1+((1-phimax_pore)/phimax_pore^2)*($A60/100))*($A60/100))</f>
        <v>0.0770942492818935</v>
      </c>
      <c r="Y60" s="9" t="n">
        <f aca="false">Y$5*(1+A_pore*Y$6*($A60/100))/(1-Y$6*(1+((1-phimax_pore)/phimax_pore^2)*($A60/100))*($A60/100))</f>
        <v>0.0801692831080865</v>
      </c>
      <c r="Z60" s="9" t="n">
        <f aca="false">Z$5*(1+A_pore*Z$6*($A60/100))/(1-Z$6*(1+((1-phimax_pore)/phimax_pore^2)*($A60/100))*($A60/100))</f>
        <v>0.0836605716915449</v>
      </c>
      <c r="AA60" s="9" t="n">
        <f aca="false">AA$5*(1+A_pore*AA$6*($A60/100))/(1-AA$6*(1+((1-phimax_pore)/phimax_pore^2)*($A60/100))*($A60/100))</f>
        <v>0.0876697148587206</v>
      </c>
      <c r="AB60" s="9" t="n">
        <f aca="false">AB$5*(1+A_pore*AB$6*($A60/100))/(1-AB$6*(1+((1-phimax_pore)/phimax_pore^2)*($A60/100))*($A60/100))</f>
        <v>0.0923337291494597</v>
      </c>
      <c r="AC60" s="9" t="n">
        <f aca="false">AC$5*(1+A_pore*AC$6*($A60/100))/(1-AC$6*(1+((1-phimax_pore)/phimax_pore^2)*($A60/100))*($A60/100))</f>
        <v>0.0978420283270981</v>
      </c>
      <c r="AD60" s="9" t="n">
        <f aca="false">AD$5*(1+A_pore*AD$6*($A60/100))/(1-AD$6*(1+((1-phimax_pore)/phimax_pore^2)*($A60/100))*($A60/100))</f>
        <v>0.104464199433222</v>
      </c>
      <c r="AE60" s="9" t="n">
        <f aca="false">AE$5*(1+A_pore*AE$6*($A60/100))/(1-AE$6*(1+((1-phimax_pore)/phimax_pore^2)*($A60/100))*($A60/100))</f>
        <v>0.112597532435636</v>
      </c>
      <c r="AF60" s="9" t="n">
        <f aca="false">AF$5*(1+A_pore*AF$6*($A60/100))/(1-AF$6*(1+((1-phimax_pore)/phimax_pore^2)*($A60/100))*($A60/100))</f>
        <v>0.122852898861881</v>
      </c>
      <c r="AG60" s="9" t="n">
        <f aca="false">AG$5*(1+A_pore*AG$6*($A60/100))/(1-AG$6*(1+((1-phimax_pore)/phimax_pore^2)*($A60/100))*($A60/100))</f>
        <v>0.136220688698374</v>
      </c>
      <c r="AH60" s="9" t="n">
        <f aca="false">AH$5*(1+A_pore*AH$6*($A60/100))/(1-AH$6*(1+((1-phimax_pore)/phimax_pore^2)*($A60/100))*($A60/100))</f>
        <v>0.154419896177839</v>
      </c>
      <c r="AI60" s="9" t="n">
        <f aca="false">AI$5*(1+A_pore*AI$6*($A60/100))/(1-AI$6*(1+((1-phimax_pore)/phimax_pore^2)*($A60/100))*($A60/100))</f>
        <v>0.180719357952666</v>
      </c>
      <c r="AJ60" s="9" t="n">
        <f aca="false">AJ$5*(1+A_pore*AJ$6*($A60/100))/(1-AJ$6*(1+((1-phimax_pore)/phimax_pore^2)*($A60/100))*($A60/100))</f>
        <v>0.222193014585475</v>
      </c>
      <c r="AK60" s="9" t="n">
        <f aca="false">AK$5*(1+A_pore*AK$6*($A60/100))/(1-AK$6*(1+((1-phimax_pore)/phimax_pore^2)*($A60/100))*($A60/100))</f>
        <v>0.297529813247977</v>
      </c>
    </row>
    <row r="61" customFormat="false" ht="15" hidden="false" customHeight="false" outlineLevel="0" collapsed="false">
      <c r="A61" s="4" t="n">
        <v>52</v>
      </c>
      <c r="B61" s="9" t="n">
        <f aca="false">B$5*(1+A_pore*B$6*($A61/100))/(1-B$6*(1+((1-phimax_pore)/phimax_pore^2)*($A61/100))*($A61/100))</f>
        <v>0.0448758763461762</v>
      </c>
      <c r="C61" s="9" t="n">
        <f aca="false">C$5*(1+A_pore*C$6*($A61/100))/(1-C$6*(1+((1-phimax_pore)/phimax_pore^2)*($A61/100))*($A61/100))</f>
        <v>0.0458177974414555</v>
      </c>
      <c r="D61" s="9" t="n">
        <f aca="false">D$5*(1+A_pore*D$6*($A61/100))/(1-D$6*(1+((1-phimax_pore)/phimax_pore^2)*($A61/100))*($A61/100))</f>
        <v>0.0467563992577769</v>
      </c>
      <c r="E61" s="9" t="n">
        <f aca="false">E$5*(1+A_pore*E$6*($A61/100))/(1-E$6*(1+((1-phimax_pore)/phimax_pore^2)*($A61/100))*($A61/100))</f>
        <v>0.0476971649320279</v>
      </c>
      <c r="F61" s="9" t="n">
        <f aca="false">F$5*(1+A_pore*F$6*($A61/100))/(1-F$6*(1+((1-phimax_pore)/phimax_pore^2)*($A61/100))*($A61/100))</f>
        <v>0.0486453524513789</v>
      </c>
      <c r="G61" s="9" t="n">
        <f aca="false">G$5*(1+A_pore*G$6*($A61/100))/(1-G$6*(1+((1-phimax_pore)/phimax_pore^2)*($A61/100))*($A61/100))</f>
        <v>0.0496061216084362</v>
      </c>
      <c r="H61" s="9" t="n">
        <f aca="false">H$5*(1+A_pore*H$6*($A61/100))/(1-H$6*(1+((1-phimax_pore)/phimax_pore^2)*($A61/100))*($A61/100))</f>
        <v>0.0505846507443705</v>
      </c>
      <c r="I61" s="9" t="n">
        <f aca="false">I$5*(1+A_pore*I$6*($A61/100))/(1-I$6*(1+((1-phimax_pore)/phimax_pore^2)*($A61/100))*($A61/100))</f>
        <v>0.0515862492139922</v>
      </c>
      <c r="J61" s="9" t="n">
        <f aca="false">J$5*(1+A_pore*J$6*($A61/100))/(1-J$6*(1+((1-phimax_pore)/phimax_pore^2)*($A61/100))*($A61/100))</f>
        <v>0.052616470913908</v>
      </c>
      <c r="K61" s="9" t="n">
        <f aca="false">K$5*(1+A_pore*K$6*($A61/100))/(1-K$6*(1+((1-phimax_pore)/phimax_pore^2)*($A61/100))*($A61/100))</f>
        <v>0.0536812340752568</v>
      </c>
      <c r="L61" s="9" t="n">
        <f aca="false">L$5*(1+A_pore*L$6*($A61/100))/(1-L$6*(1+((1-phimax_pore)/phimax_pore^2)*($A61/100))*($A61/100))</f>
        <v>0.0547869528004045</v>
      </c>
      <c r="M61" s="9" t="n">
        <f aca="false">M$5*(1+A_pore*M$6*($A61/100))/(1-M$6*(1+((1-phimax_pore)/phimax_pore^2)*($A61/100))*($A61/100))</f>
        <v>0.0559406865351353</v>
      </c>
      <c r="N61" s="9" t="n">
        <f aca="false">N$5*(1+A_pore*N$6*($A61/100))/(1-N$6*(1+((1-phimax_pore)/phimax_pore^2)*($A61/100))*($A61/100))</f>
        <v>0.0571503148843755</v>
      </c>
      <c r="O61" s="9" t="n">
        <f aca="false">O$5*(1+A_pore*O$6*($A61/100))/(1-O$6*(1+((1-phimax_pore)/phimax_pore^2)*($A61/100))*($A61/100))</f>
        <v>0.0584247470338728</v>
      </c>
      <c r="P61" s="9" t="n">
        <f aca="false">P$5*(1+A_pore*P$6*($A61/100))/(1-P$6*(1+((1-phimax_pore)/phimax_pore^2)*($A61/100))*($A61/100))</f>
        <v>0.0597741777512986</v>
      </c>
      <c r="Q61" s="9" t="n">
        <f aca="false">Q$5*(1+A_pore*Q$6*($A61/100))/(1-Q$6*(1+((1-phimax_pore)/phimax_pore^2)*($A61/100))*($A61/100))</f>
        <v>0.0612104058501184</v>
      </c>
      <c r="R61" s="9" t="n">
        <f aca="false">R$5*(1+A_pore*R$6*($A61/100))/(1-R$6*(1+((1-phimax_pore)/phimax_pore^2)*($A61/100))*($A61/100))</f>
        <v>0.0627472366376958</v>
      </c>
      <c r="S61" s="9" t="n">
        <f aca="false">S$5*(1+A_pore*S$6*($A61/100))/(1-S$6*(1+((1-phimax_pore)/phimax_pore^2)*($A61/100))*($A61/100))</f>
        <v>0.0644009980584694</v>
      </c>
      <c r="T61" s="9" t="n">
        <f aca="false">T$5*(1+A_pore*T$6*($A61/100))/(1-T$6*(1+((1-phimax_pore)/phimax_pore^2)*($A61/100))*($A61/100))</f>
        <v>0.0661912122788174</v>
      </c>
      <c r="U61" s="9" t="n">
        <f aca="false">U$5*(1+A_pore*U$6*($A61/100))/(1-U$6*(1+((1-phimax_pore)/phimax_pore^2)*($A61/100))*($A61/100))</f>
        <v>0.068141482415156</v>
      </c>
      <c r="V61" s="9" t="n">
        <f aca="false">V$5*(1+A_pore*V$6*($A61/100))/(1-V$6*(1+((1-phimax_pore)/phimax_pore^2)*($A61/100))*($A61/100))</f>
        <v>0.0702806813649691</v>
      </c>
      <c r="W61" s="9" t="n">
        <f aca="false">W$5*(1+A_pore*W$6*($A61/100))/(1-W$6*(1+((1-phimax_pore)/phimax_pore^2)*($A61/100))*($A61/100))</f>
        <v>0.0726445719135467</v>
      </c>
      <c r="X61" s="9" t="n">
        <f aca="false">X$5*(1+A_pore*X$6*($A61/100))/(1-X$6*(1+((1-phimax_pore)/phimax_pore^2)*($A61/100))*($A61/100))</f>
        <v>0.075278054138665</v>
      </c>
      <c r="Y61" s="9" t="n">
        <f aca="false">Y$5*(1+A_pore*Y$6*($A61/100))/(1-Y$6*(1+((1-phimax_pore)/phimax_pore^2)*($A61/100))*($A61/100))</f>
        <v>0.0782383446815087</v>
      </c>
      <c r="Z61" s="9" t="n">
        <f aca="false">Z$5*(1+A_pore*Z$6*($A61/100))/(1-Z$6*(1+((1-phimax_pore)/phimax_pore^2)*($A61/100))*($A61/100))</f>
        <v>0.0815995737235284</v>
      </c>
      <c r="AA61" s="9" t="n">
        <f aca="false">AA$5*(1+A_pore*AA$6*($A61/100))/(1-AA$6*(1+((1-phimax_pore)/phimax_pore^2)*($A61/100))*($A61/100))</f>
        <v>0.0854595979811144</v>
      </c>
      <c r="AB61" s="9" t="n">
        <f aca="false">AB$5*(1+A_pore*AB$6*($A61/100))/(1-AB$6*(1+((1-phimax_pore)/phimax_pore^2)*($A61/100))*($A61/100))</f>
        <v>0.0899503864250026</v>
      </c>
      <c r="AC61" s="9" t="n">
        <f aca="false">AC$5*(1+A_pore*AC$6*($A61/100))/(1-AC$6*(1+((1-phimax_pore)/phimax_pore^2)*($A61/100))*($A61/100))</f>
        <v>0.095254375393171</v>
      </c>
      <c r="AD61" s="9" t="n">
        <f aca="false">AD$5*(1+A_pore*AD$6*($A61/100))/(1-AD$6*(1+((1-phimax_pore)/phimax_pore^2)*($A61/100))*($A61/100))</f>
        <v>0.101631221638363</v>
      </c>
      <c r="AE61" s="9" t="n">
        <f aca="false">AE$5*(1+A_pore*AE$6*($A61/100))/(1-AE$6*(1+((1-phimax_pore)/phimax_pore^2)*($A61/100))*($A61/100))</f>
        <v>0.10946358142742</v>
      </c>
      <c r="AF61" s="9" t="n">
        <f aca="false">AF$5*(1+A_pore*AF$6*($A61/100))/(1-AF$6*(1+((1-phimax_pore)/phimax_pore^2)*($A61/100))*($A61/100))</f>
        <v>0.119339826202664</v>
      </c>
      <c r="AG61" s="9" t="n">
        <f aca="false">AG$5*(1+A_pore*AG$6*($A61/100))/(1-AG$6*(1+((1-phimax_pore)/phimax_pore^2)*($A61/100))*($A61/100))</f>
        <v>0.132213867901243</v>
      </c>
      <c r="AH61" s="9" t="n">
        <f aca="false">AH$5*(1+A_pore*AH$6*($A61/100))/(1-AH$6*(1+((1-phimax_pore)/phimax_pore^2)*($A61/100))*($A61/100))</f>
        <v>0.149741387649545</v>
      </c>
      <c r="AI61" s="9" t="n">
        <f aca="false">AI$5*(1+A_pore*AI$6*($A61/100))/(1-AI$6*(1+((1-phimax_pore)/phimax_pore^2)*($A61/100))*($A61/100))</f>
        <v>0.175070827112702</v>
      </c>
      <c r="AJ61" s="9" t="n">
        <f aca="false">AJ$5*(1+A_pore*AJ$6*($A61/100))/(1-AJ$6*(1+((1-phimax_pore)/phimax_pore^2)*($A61/100))*($A61/100))</f>
        <v>0.215015586995376</v>
      </c>
      <c r="AK61" s="9" t="n">
        <f aca="false">AK$5*(1+A_pore*AK$6*($A61/100))/(1-AK$6*(1+((1-phimax_pore)/phimax_pore^2)*($A61/100))*($A61/100))</f>
        <v>0.287576285106124</v>
      </c>
    </row>
    <row r="62" customFormat="false" ht="15" hidden="false" customHeight="false" outlineLevel="0" collapsed="false">
      <c r="A62" s="4" t="n">
        <v>53</v>
      </c>
      <c r="B62" s="9" t="n">
        <f aca="false">B$5*(1+A_pore*B$6*($A62/100))/(1-B$6*(1+((1-phimax_pore)/phimax_pore^2)*($A62/100))*($A62/100))</f>
        <v>0.0442730102099695</v>
      </c>
      <c r="C62" s="9" t="n">
        <f aca="false">C$5*(1+A_pore*C$6*($A62/100))/(1-C$6*(1+((1-phimax_pore)/phimax_pore^2)*($A62/100))*($A62/100))</f>
        <v>0.0451787040739217</v>
      </c>
      <c r="D62" s="9" t="n">
        <f aca="false">D$5*(1+A_pore*D$6*($A62/100))/(1-D$6*(1+((1-phimax_pore)/phimax_pore^2)*($A62/100))*($A62/100))</f>
        <v>0.0460810954728356</v>
      </c>
      <c r="E62" s="9" t="n">
        <f aca="false">E$5*(1+A_pore*E$6*($A62/100))/(1-E$6*(1+((1-phimax_pore)/phimax_pore^2)*($A62/100))*($A62/100))</f>
        <v>0.0469854970490587</v>
      </c>
      <c r="F62" s="9" t="n">
        <f aca="false">F$5*(1+A_pore*F$6*($A62/100))/(1-F$6*(1+((1-phimax_pore)/phimax_pore^2)*($A62/100))*($A62/100))</f>
        <v>0.0478969968311097</v>
      </c>
      <c r="G62" s="9" t="n">
        <f aca="false">G$5*(1+A_pore*G$6*($A62/100))/(1-G$6*(1+((1-phimax_pore)/phimax_pore^2)*($A62/100))*($A62/100))</f>
        <v>0.0488205823976363</v>
      </c>
      <c r="H62" s="9" t="n">
        <f aca="false">H$5*(1+A_pore*H$6*($A62/100))/(1-H$6*(1+((1-phimax_pore)/phimax_pore^2)*($A62/100))*($A62/100))</f>
        <v>0.0497612547102399</v>
      </c>
      <c r="I62" s="9" t="n">
        <f aca="false">I$5*(1+A_pore*I$6*($A62/100))/(1-I$6*(1+((1-phimax_pore)/phimax_pore^2)*($A62/100))*($A62/100))</f>
        <v>0.0507241374688246</v>
      </c>
      <c r="J62" s="9" t="n">
        <f aca="false">J$5*(1+A_pore*J$6*($A62/100))/(1-J$6*(1+((1-phimax_pore)/phimax_pore^2)*($A62/100))*($A62/100))</f>
        <v>0.0517145872304947</v>
      </c>
      <c r="K62" s="9" t="n">
        <f aca="false">K$5*(1+A_pore*K$6*($A62/100))/(1-K$6*(1+((1-phimax_pore)/phimax_pore^2)*($A62/100))*($A62/100))</f>
        <v>0.0527383093701671</v>
      </c>
      <c r="L62" s="9" t="n">
        <f aca="false">L$5*(1+A_pore*L$6*($A62/100))/(1-L$6*(1+((1-phimax_pore)/phimax_pore^2)*($A62/100))*($A62/100))</f>
        <v>0.053801485209078</v>
      </c>
      <c r="M62" s="9" t="n">
        <f aca="false">M$5*(1+A_pore*M$6*($A62/100))/(1-M$6*(1+((1-phimax_pore)/phimax_pore^2)*($A62/100))*($A62/100))</f>
        <v>0.0549109163095254</v>
      </c>
      <c r="N62" s="9" t="n">
        <f aca="false">N$5*(1+A_pore*N$6*($A62/100))/(1-N$6*(1+((1-phimax_pore)/phimax_pore^2)*($A62/100))*($A62/100))</f>
        <v>0.0560741930960573</v>
      </c>
      <c r="O62" s="9" t="n">
        <f aca="false">O$5*(1+A_pore*O$6*($A62/100))/(1-O$6*(1+((1-phimax_pore)/phimax_pore^2)*($A62/100))*($A62/100))</f>
        <v>0.0572998967422417</v>
      </c>
      <c r="P62" s="9" t="n">
        <f aca="false">P$5*(1+A_pore*P$6*($A62/100))/(1-P$6*(1+((1-phimax_pore)/phimax_pore^2)*($A62/100))*($A62/100))</f>
        <v>0.0585978458680012</v>
      </c>
      <c r="Q62" s="9" t="n">
        <f aca="false">Q$5*(1+A_pore*Q$6*($A62/100))/(1-Q$6*(1+((1-phimax_pore)/phimax_pore^2)*($A62/100))*($A62/100))</f>
        <v>0.0599794033541746</v>
      </c>
      <c r="R62" s="9" t="n">
        <f aca="false">R$5*(1+A_pore*R$6*($A62/100))/(1-R$6*(1+((1-phimax_pore)/phimax_pore^2)*($A62/100))*($A62/100))</f>
        <v>0.0614578640079551</v>
      </c>
      <c r="S62" s="9" t="n">
        <f aca="false">S$5*(1+A_pore*S$6*($A62/100))/(1-S$6*(1+((1-phimax_pore)/phimax_pore^2)*($A62/100))*($A62/100))</f>
        <v>0.0630489516974232</v>
      </c>
      <c r="T62" s="9" t="n">
        <f aca="false">T$5*(1+A_pore*T$6*($A62/100))/(1-T$6*(1+((1-phimax_pore)/phimax_pore^2)*($A62/100))*($A62/100))</f>
        <v>0.0647714661626248</v>
      </c>
      <c r="U62" s="9" t="n">
        <f aca="false">U$5*(1+A_pore*U$6*($A62/100))/(1-U$6*(1+((1-phimax_pore)/phimax_pore^2)*($A62/100))*($A62/100))</f>
        <v>0.0666481370004924</v>
      </c>
      <c r="V62" s="9" t="n">
        <f aca="false">V$5*(1+A_pore*V$6*($A62/100))/(1-V$6*(1+((1-phimax_pore)/phimax_pore^2)*($A62/100))*($A62/100))</f>
        <v>0.068706768570196</v>
      </c>
      <c r="W62" s="9" t="n">
        <f aca="false">W$5*(1+A_pore*W$6*($A62/100))/(1-W$6*(1+((1-phimax_pore)/phimax_pore^2)*($A62/100))*($A62/100))</f>
        <v>0.0709818002168742</v>
      </c>
      <c r="X62" s="9" t="n">
        <f aca="false">X$5*(1+A_pore*X$6*($A62/100))/(1-X$6*(1+((1-phimax_pore)/phimax_pore^2)*($A62/100))*($A62/100))</f>
        <v>0.0735164705884948</v>
      </c>
      <c r="Y62" s="9" t="n">
        <f aca="false">Y$5*(1+A_pore*Y$6*($A62/100))/(1-Y$6*(1+((1-phimax_pore)/phimax_pore^2)*($A62/100))*($A62/100))</f>
        <v>0.0763658793521154</v>
      </c>
      <c r="Z62" s="9" t="n">
        <f aca="false">Z$5*(1+A_pore*Z$6*($A62/100))/(1-Z$6*(1+((1-phimax_pore)/phimax_pore^2)*($A62/100))*($A62/100))</f>
        <v>0.0796014141832691</v>
      </c>
      <c r="AA62" s="9" t="n">
        <f aca="false">AA$5*(1+A_pore*AA$6*($A62/100))/(1-AA$6*(1+((1-phimax_pore)/phimax_pore^2)*($A62/100))*($A62/100))</f>
        <v>0.0833173118185281</v>
      </c>
      <c r="AB62" s="9" t="n">
        <f aca="false">AB$5*(1+A_pore*AB$6*($A62/100))/(1-AB$6*(1+((1-phimax_pore)/phimax_pore^2)*($A62/100))*($A62/100))</f>
        <v>0.087640659705963</v>
      </c>
      <c r="AC62" s="9" t="n">
        <f aca="false">AC$5*(1+A_pore*AC$6*($A62/100))/(1-AC$6*(1+((1-phimax_pore)/phimax_pore^2)*($A62/100))*($A62/100))</f>
        <v>0.0927471462907415</v>
      </c>
      <c r="AD62" s="9" t="n">
        <f aca="false">AD$5*(1+A_pore*AD$6*($A62/100))/(1-AD$6*(1+((1-phimax_pore)/phimax_pore^2)*($A62/100))*($A62/100))</f>
        <v>0.0988868247040114</v>
      </c>
      <c r="AE62" s="9" t="n">
        <f aca="false">AE$5*(1+A_pore*AE$6*($A62/100))/(1-AE$6*(1+((1-phimax_pore)/phimax_pore^2)*($A62/100))*($A62/100))</f>
        <v>0.106428198893216</v>
      </c>
      <c r="AF62" s="9" t="n">
        <f aca="false">AF$5*(1+A_pore*AF$6*($A62/100))/(1-AF$6*(1+((1-phimax_pore)/phimax_pore^2)*($A62/100))*($A62/100))</f>
        <v>0.115937880349617</v>
      </c>
      <c r="AG62" s="9" t="n">
        <f aca="false">AG$5*(1+A_pore*AG$6*($A62/100))/(1-AG$6*(1+((1-phimax_pore)/phimax_pore^2)*($A62/100))*($A62/100))</f>
        <v>0.128334502874104</v>
      </c>
      <c r="AH62" s="9" t="n">
        <f aca="false">AH$5*(1+A_pore*AH$6*($A62/100))/(1-AH$6*(1+((1-phimax_pore)/phimax_pore^2)*($A62/100))*($A62/100))</f>
        <v>0.145212517083554</v>
      </c>
      <c r="AI62" s="9" t="n">
        <f aca="false">AI$5*(1+A_pore*AI$6*($A62/100))/(1-AI$6*(1+((1-phimax_pore)/phimax_pore^2)*($A62/100))*($A62/100))</f>
        <v>0.169603929837848</v>
      </c>
      <c r="AJ62" s="9" t="n">
        <f aca="false">AJ$5*(1+A_pore*AJ$6*($A62/100))/(1-AJ$6*(1+((1-phimax_pore)/phimax_pore^2)*($A62/100))*($A62/100))</f>
        <v>0.208070171922133</v>
      </c>
      <c r="AK62" s="9" t="n">
        <f aca="false">AK$5*(1+A_pore*AK$6*($A62/100))/(1-AK$6*(1+((1-phimax_pore)/phimax_pore^2)*($A62/100))*($A62/100))</f>
        <v>0.277946172904083</v>
      </c>
    </row>
    <row r="63" customFormat="false" ht="15" hidden="false" customHeight="false" outlineLevel="0" collapsed="false">
      <c r="A63" s="4" t="n">
        <v>54</v>
      </c>
      <c r="B63" s="9" t="n">
        <f aca="false">B$5*(1+A_pore*B$6*($A63/100))/(1-B$6*(1+((1-phimax_pore)/phimax_pore^2)*($A63/100))*($A63/100))</f>
        <v>0.0436832691683996</v>
      </c>
      <c r="C63" s="9" t="n">
        <f aca="false">C$5*(1+A_pore*C$6*($A63/100))/(1-C$6*(1+((1-phimax_pore)/phimax_pore^2)*($A63/100))*($A63/100))</f>
        <v>0.0445539276119234</v>
      </c>
      <c r="D63" s="9" t="n">
        <f aca="false">D$5*(1+A_pore*D$6*($A63/100))/(1-D$6*(1+((1-phimax_pore)/phimax_pore^2)*($A63/100))*($A63/100))</f>
        <v>0.0454213134590275</v>
      </c>
      <c r="E63" s="9" t="n">
        <f aca="false">E$5*(1+A_pore*E$6*($A63/100))/(1-E$6*(1+((1-phimax_pore)/phimax_pore^2)*($A63/100))*($A63/100))</f>
        <v>0.046290571666444</v>
      </c>
      <c r="F63" s="9" t="n">
        <f aca="false">F$5*(1+A_pore*F$6*($A63/100))/(1-F$6*(1+((1-phimax_pore)/phimax_pore^2)*($A63/100))*($A63/100))</f>
        <v>0.0471666236355051</v>
      </c>
      <c r="G63" s="9" t="n">
        <f aca="false">G$5*(1+A_pore*G$6*($A63/100))/(1-G$6*(1+((1-phimax_pore)/phimax_pore^2)*($A63/100))*($A63/100))</f>
        <v>0.0480542885613087</v>
      </c>
      <c r="H63" s="9" t="n">
        <f aca="false">H$5*(1+A_pore*H$6*($A63/100))/(1-H$6*(1+((1-phimax_pore)/phimax_pore^2)*($A63/100))*($A63/100))</f>
        <v>0.0489583943614601</v>
      </c>
      <c r="I63" s="9" t="n">
        <f aca="false">I$5*(1+A_pore*I$6*($A63/100))/(1-I$6*(1+((1-phimax_pore)/phimax_pore^2)*($A63/100))*($A63/100))</f>
        <v>0.0498838839539852</v>
      </c>
      <c r="J63" s="9" t="n">
        <f aca="false">J$5*(1+A_pore*J$6*($A63/100))/(1-J$6*(1+((1-phimax_pore)/phimax_pore^2)*($A63/100))*($A63/100))</f>
        <v>0.0508359220238805</v>
      </c>
      <c r="K63" s="9" t="n">
        <f aca="false">K$5*(1+A_pore*K$6*($A63/100))/(1-K$6*(1+((1-phimax_pore)/phimax_pore^2)*($A63/100))*($A63/100))</f>
        <v>0.0518200072336184</v>
      </c>
      <c r="L63" s="9" t="n">
        <f aca="false">L$5*(1+A_pore*L$6*($A63/100))/(1-L$6*(1+((1-phimax_pore)/phimax_pore^2)*($A63/100))*($A63/100))</f>
        <v>0.0528420950529274</v>
      </c>
      <c r="M63" s="9" t="n">
        <f aca="false">M$5*(1+A_pore*M$6*($A63/100))/(1-M$6*(1+((1-phimax_pore)/phimax_pore^2)*($A63/100))*($A63/100))</f>
        <v>0.0539087370172672</v>
      </c>
      <c r="N63" s="9" t="n">
        <f aca="false">N$5*(1+A_pore*N$6*($A63/100))/(1-N$6*(1+((1-phimax_pore)/phimax_pore^2)*($A63/100))*($A63/100))</f>
        <v>0.0550272433338929</v>
      </c>
      <c r="O63" s="9" t="n">
        <f aca="false">O$5*(1+A_pore*O$6*($A63/100))/(1-O$6*(1+((1-phimax_pore)/phimax_pore^2)*($A63/100))*($A63/100))</f>
        <v>0.0562058774606833</v>
      </c>
      <c r="P63" s="9" t="n">
        <f aca="false">P$5*(1+A_pore*P$6*($A63/100))/(1-P$6*(1+((1-phimax_pore)/phimax_pore^2)*($A63/100))*($A63/100))</f>
        <v>0.0574540937872068</v>
      </c>
      <c r="Q63" s="9" t="n">
        <f aca="false">Q$5*(1+A_pore*Q$6*($A63/100))/(1-Q$6*(1+((1-phimax_pore)/phimax_pore^2)*($A63/100))*($A63/100))</f>
        <v>0.0587828331659947</v>
      </c>
      <c r="R63" s="9" t="n">
        <f aca="false">R$5*(1+A_pore*R$6*($A63/100))/(1-R$6*(1+((1-phimax_pore)/phimax_pore^2)*($A63/100))*($A63/100))</f>
        <v>0.0602048962648171</v>
      </c>
      <c r="S63" s="9" t="n">
        <f aca="false">S$5*(1+A_pore*S$6*($A63/100))/(1-S$6*(1+((1-phimax_pore)/phimax_pore^2)*($A63/100))*($A63/100))</f>
        <v>0.0617354223005147</v>
      </c>
      <c r="T63" s="9" t="n">
        <f aca="false">T$5*(1+A_pore*T$6*($A63/100))/(1-T$6*(1+((1-phimax_pore)/phimax_pore^2)*($A63/100))*($A63/100))</f>
        <v>0.063392511872157</v>
      </c>
      <c r="U63" s="9" t="n">
        <f aca="false">U$5*(1+A_pore*U$6*($A63/100))/(1-U$6*(1+((1-phimax_pore)/phimax_pore^2)*($A63/100))*($A63/100))</f>
        <v>0.0651980492576661</v>
      </c>
      <c r="V63" s="9" t="n">
        <f aca="false">V$5*(1+A_pore*V$6*($A63/100))/(1-V$6*(1+((1-phimax_pore)/phimax_pore^2)*($A63/100))*($A63/100))</f>
        <v>0.0671788048111717</v>
      </c>
      <c r="W63" s="9" t="n">
        <f aca="false">W$5*(1+A_pore*W$6*($A63/100))/(1-W$6*(1+((1-phimax_pore)/phimax_pore^2)*($A63/100))*($A63/100))</f>
        <v>0.0693679372386024</v>
      </c>
      <c r="X63" s="9" t="n">
        <f aca="false">X$5*(1+A_pore*X$6*($A63/100))/(1-X$6*(1+((1-phimax_pore)/phimax_pore^2)*($A63/100))*($A63/100))</f>
        <v>0.0718070775132173</v>
      </c>
      <c r="Y63" s="9" t="n">
        <f aca="false">Y$5*(1+A_pore*Y$6*($A63/100))/(1-Y$6*(1+((1-phimax_pore)/phimax_pore^2)*($A63/100))*($A63/100))</f>
        <v>0.0745492768397226</v>
      </c>
      <c r="Z63" s="9" t="n">
        <f aca="false">Z$5*(1+A_pore*Z$6*($A63/100))/(1-Z$6*(1+((1-phimax_pore)/phimax_pore^2)*($A63/100))*($A63/100))</f>
        <v>0.0776632691561328</v>
      </c>
      <c r="AA63" s="9" t="n">
        <f aca="false">AA$5*(1+A_pore*AA$6*($A63/100))/(1-AA$6*(1+((1-phimax_pore)/phimax_pore^2)*($A63/100))*($A63/100))</f>
        <v>0.0812397883970294</v>
      </c>
      <c r="AB63" s="9" t="n">
        <f aca="false">AB$5*(1+A_pore*AB$6*($A63/100))/(1-AB$6*(1+((1-phimax_pore)/phimax_pore^2)*($A63/100))*($A63/100))</f>
        <v>0.0854011985045571</v>
      </c>
      <c r="AC63" s="9" t="n">
        <f aca="false">AC$5*(1+A_pore*AC$6*($A63/100))/(1-AC$6*(1+((1-phimax_pore)/phimax_pore^2)*($A63/100))*($A63/100))</f>
        <v>0.090316658461477</v>
      </c>
      <c r="AD63" s="9" t="n">
        <f aca="false">AD$5*(1+A_pore*AD$6*($A63/100))/(1-AD$6*(1+((1-phimax_pore)/phimax_pore^2)*($A63/100))*($A63/100))</f>
        <v>0.0962269286420615</v>
      </c>
      <c r="AE63" s="9" t="n">
        <f aca="false">AE$5*(1+A_pore*AE$6*($A63/100))/(1-AE$6*(1+((1-phimax_pore)/phimax_pore^2)*($A63/100))*($A63/100))</f>
        <v>0.103486818767197</v>
      </c>
      <c r="AF63" s="9" t="n">
        <f aca="false">AF$5*(1+A_pore*AF$6*($A63/100))/(1-AF$6*(1+((1-phimax_pore)/phimax_pore^2)*($A63/100))*($A63/100))</f>
        <v>0.112641884702697</v>
      </c>
      <c r="AG63" s="9" t="n">
        <f aca="false">AG$5*(1+A_pore*AG$6*($A63/100))/(1-AG$6*(1+((1-phimax_pore)/phimax_pore^2)*($A63/100))*($A63/100))</f>
        <v>0.124576623971633</v>
      </c>
      <c r="AH63" s="9" t="n">
        <f aca="false">AH$5*(1+A_pore*AH$6*($A63/100))/(1-AH$6*(1+((1-phimax_pore)/phimax_pore^2)*($A63/100))*($A63/100))</f>
        <v>0.140826238516214</v>
      </c>
      <c r="AI63" s="9" t="n">
        <f aca="false">AI$5*(1+A_pore*AI$6*($A63/100))/(1-AI$6*(1+((1-phimax_pore)/phimax_pore^2)*($A63/100))*($A63/100))</f>
        <v>0.164310068967443</v>
      </c>
      <c r="AJ63" s="9" t="n">
        <f aca="false">AJ$5*(1+A_pore*AJ$6*($A63/100))/(1-AJ$6*(1+((1-phimax_pore)/phimax_pore^2)*($A63/100))*($A63/100))</f>
        <v>0.201345731489492</v>
      </c>
      <c r="AK63" s="9" t="n">
        <f aca="false">AK$5*(1+A_pore*AK$6*($A63/100))/(1-AK$6*(1+((1-phimax_pore)/phimax_pore^2)*($A63/100))*($A63/100))</f>
        <v>0.268624013085144</v>
      </c>
    </row>
    <row r="64" customFormat="false" ht="15" hidden="false" customHeight="false" outlineLevel="0" collapsed="false">
      <c r="A64" s="4" t="n">
        <v>55</v>
      </c>
      <c r="B64" s="9" t="n">
        <f aca="false">B$5*(1+A_pore*B$6*($A64/100))/(1-B$6*(1+((1-phimax_pore)/phimax_pore^2)*($A64/100))*($A64/100))</f>
        <v>0.0431062299148672</v>
      </c>
      <c r="C64" s="9" t="n">
        <f aca="false">C$5*(1+A_pore*C$6*($A64/100))/(1-C$6*(1+((1-phimax_pore)/phimax_pore^2)*($A64/100))*($A64/100))</f>
        <v>0.0439429930888878</v>
      </c>
      <c r="D64" s="9" t="n">
        <f aca="false">D$5*(1+A_pore*D$6*($A64/100))/(1-D$6*(1+((1-phimax_pore)/phimax_pore^2)*($A64/100))*($A64/100))</f>
        <v>0.0447765250395504</v>
      </c>
      <c r="E64" s="9" t="n">
        <f aca="false">E$5*(1+A_pore*E$6*($A64/100))/(1-E$6*(1+((1-phimax_pore)/phimax_pore^2)*($A64/100))*($A64/100))</f>
        <v>0.0456118058304688</v>
      </c>
      <c r="F64" s="9" t="n">
        <f aca="false">F$5*(1+A_pore*F$6*($A64/100))/(1-F$6*(1+((1-phimax_pore)/phimax_pore^2)*($A64/100))*($A64/100))</f>
        <v>0.0464535935108351</v>
      </c>
      <c r="G64" s="9" t="n">
        <f aca="false">G$5*(1+A_pore*G$6*($A64/100))/(1-G$6*(1+((1-phimax_pore)/phimax_pore^2)*($A64/100))*($A64/100))</f>
        <v>0.0473065426289806</v>
      </c>
      <c r="H64" s="9" t="n">
        <f aca="false">H$5*(1+A_pore*H$6*($A64/100))/(1-H$6*(1+((1-phimax_pore)/phimax_pore^2)*($A64/100))*($A64/100))</f>
        <v>0.048175312264585</v>
      </c>
      <c r="I64" s="9" t="n">
        <f aca="false">I$5*(1+A_pore*I$6*($A64/100))/(1-I$6*(1+((1-phimax_pore)/phimax_pore^2)*($A64/100))*($A64/100))</f>
        <v>0.0490646692614206</v>
      </c>
      <c r="J64" s="9" t="n">
        <f aca="false">J$5*(1+A_pore*J$6*($A64/100))/(1-J$6*(1+((1-phimax_pore)/phimax_pore^2)*($A64/100))*($A64/100))</f>
        <v>0.0499795916971141</v>
      </c>
      <c r="K64" s="9" t="n">
        <f aca="false">K$5*(1+A_pore*K$6*($A64/100))/(1-K$6*(1+((1-phimax_pore)/phimax_pore^2)*($A64/100))*($A64/100))</f>
        <v>0.0509253774228605</v>
      </c>
      <c r="L64" s="9" t="n">
        <f aca="false">L$5*(1+A_pore*L$6*($A64/100))/(1-L$6*(1+((1-phimax_pore)/phimax_pore^2)*($A64/100))*($A64/100))</f>
        <v>0.0519077626997807</v>
      </c>
      <c r="M64" s="9" t="n">
        <f aca="false">M$5*(1+A_pore*M$6*($A64/100))/(1-M$6*(1+((1-phimax_pore)/phimax_pore^2)*($A64/100))*($A64/100))</f>
        <v>0.0529330565564947</v>
      </c>
      <c r="N64" s="9" t="n">
        <f aca="false">N$5*(1+A_pore*N$6*($A64/100))/(1-N$6*(1+((1-phimax_pore)/phimax_pore^2)*($A64/100))*($A64/100))</f>
        <v>0.0540082975517221</v>
      </c>
      <c r="O64" s="9" t="n">
        <f aca="false">O$5*(1+A_pore*O$6*($A64/100))/(1-O$6*(1+((1-phimax_pore)/phimax_pore^2)*($A64/100))*($A64/100))</f>
        <v>0.0551414412620011</v>
      </c>
      <c r="P64" s="9" t="n">
        <f aca="false">P$5*(1+A_pore*P$6*($A64/100))/(1-P$6*(1+((1-phimax_pore)/phimax_pore^2)*($A64/100))*($A64/100))</f>
        <v>0.0563415892208777</v>
      </c>
      <c r="Q64" s="9" t="n">
        <f aca="false">Q$5*(1+A_pore*Q$6*($A64/100))/(1-Q$6*(1+((1-phimax_pore)/phimax_pore^2)*($A64/100))*($A64/100))</f>
        <v>0.0576192735159772</v>
      </c>
      <c r="R64" s="9" t="n">
        <f aca="false">R$5*(1+A_pore*R$6*($A64/100))/(1-R$6*(1+((1-phimax_pore)/phimax_pore^2)*($A64/100))*($A64/100))</f>
        <v>0.0589868162756966</v>
      </c>
      <c r="S64" s="9" t="n">
        <f aca="false">S$5*(1+A_pore*S$6*($A64/100))/(1-S$6*(1+((1-phimax_pore)/phimax_pore^2)*($A64/100))*($A64/100))</f>
        <v>0.0604587905816909</v>
      </c>
      <c r="T64" s="9" t="n">
        <f aca="false">T$5*(1+A_pore*T$6*($A64/100))/(1-T$6*(1+((1-phimax_pore)/phimax_pore^2)*($A64/100))*($A64/100))</f>
        <v>0.0620526200823985</v>
      </c>
      <c r="U64" s="9" t="n">
        <f aca="false">U$5*(1+A_pore*U$6*($A64/100))/(1-U$6*(1+((1-phimax_pore)/phimax_pore^2)*($A64/100))*($A64/100))</f>
        <v>0.0637893706062865</v>
      </c>
      <c r="V64" s="9" t="n">
        <f aca="false">V$5*(1+A_pore*V$6*($A64/100))/(1-V$6*(1+((1-phimax_pore)/phimax_pore^2)*($A64/100))*($A64/100))</f>
        <v>0.0656948114016213</v>
      </c>
      <c r="W64" s="9" t="n">
        <f aca="false">W$5*(1+A_pore*W$6*($A64/100))/(1-W$6*(1+((1-phimax_pore)/phimax_pore^2)*($A64/100))*($A64/100))</f>
        <v>0.0678008613068543</v>
      </c>
      <c r="X64" s="9" t="n">
        <f aca="false">X$5*(1+A_pore*X$6*($A64/100))/(1-X$6*(1+((1-phimax_pore)/phimax_pore^2)*($A64/100))*($A64/100))</f>
        <v>0.0701475948235689</v>
      </c>
      <c r="Y64" s="9" t="n">
        <f aca="false">Y$5*(1+A_pore*Y$6*($A64/100))/(1-Y$6*(1+((1-phimax_pore)/phimax_pore^2)*($A64/100))*($A64/100))</f>
        <v>0.0727860799500607</v>
      </c>
      <c r="Z64" s="9" t="n">
        <f aca="false">Z$5*(1+A_pore*Z$6*($A64/100))/(1-Z$6*(1+((1-phimax_pore)/phimax_pore^2)*($A64/100))*($A64/100))</f>
        <v>0.0757824814338631</v>
      </c>
      <c r="AA64" s="9" t="n">
        <f aca="false">AA$5*(1+A_pore*AA$6*($A64/100))/(1-AA$6*(1+((1-phimax_pore)/phimax_pore^2)*($A64/100))*($A64/100))</f>
        <v>0.0792241420104212</v>
      </c>
      <c r="AB64" s="9" t="n">
        <f aca="false">AB$5*(1+A_pore*AB$6*($A64/100))/(1-AB$6*(1+((1-phimax_pore)/phimax_pore^2)*($A64/100))*($A64/100))</f>
        <v>0.0832288526123675</v>
      </c>
      <c r="AC64" s="9" t="n">
        <f aca="false">AC$5*(1+A_pore*AC$6*($A64/100))/(1-AC$6*(1+((1-phimax_pore)/phimax_pore^2)*($A64/100))*($A64/100))</f>
        <v>0.0879594507928089</v>
      </c>
      <c r="AD64" s="9" t="n">
        <f aca="false">AD$5*(1+A_pore*AD$6*($A64/100))/(1-AD$6*(1+((1-phimax_pore)/phimax_pore^2)*($A64/100))*($A64/100))</f>
        <v>0.0936477002342849</v>
      </c>
      <c r="AE64" s="9" t="n">
        <f aca="false">AE$5*(1+A_pore*AE$6*($A64/100))/(1-AE$6*(1+((1-phimax_pore)/phimax_pore^2)*($A64/100))*($A64/100))</f>
        <v>0.100635152713509</v>
      </c>
      <c r="AF64" s="9" t="n">
        <f aca="false">AF$5*(1+A_pore*AF$6*($A64/100))/(1-AF$6*(1+((1-phimax_pore)/phimax_pore^2)*($A64/100))*($A64/100))</f>
        <v>0.109446979261048</v>
      </c>
      <c r="AG64" s="9" t="n">
        <f aca="false">AG$5*(1+A_pore*AG$6*($A64/100))/(1-AG$6*(1+((1-phimax_pore)/phimax_pore^2)*($A64/100))*($A64/100))</f>
        <v>0.120934628611494</v>
      </c>
      <c r="AH64" s="9" t="n">
        <f aca="false">AH$5*(1+A_pore*AH$6*($A64/100))/(1-AH$6*(1+((1-phimax_pore)/phimax_pore^2)*($A64/100))*($A64/100))</f>
        <v>0.136575941502084</v>
      </c>
      <c r="AI64" s="9" t="n">
        <f aca="false">AI$5*(1+A_pore*AI$6*($A64/100))/(1-AI$6*(1+((1-phimax_pore)/phimax_pore^2)*($A64/100))*($A64/100))</f>
        <v>0.159181181469782</v>
      </c>
      <c r="AJ64" s="9" t="n">
        <f aca="false">AJ$5*(1+A_pore*AJ$6*($A64/100))/(1-AJ$6*(1+((1-phimax_pore)/phimax_pore^2)*($A64/100))*($A64/100))</f>
        <v>0.194831917040016</v>
      </c>
      <c r="AK64" s="9" t="n">
        <f aca="false">AK$5*(1+A_pore*AK$6*($A64/100))/(1-AK$6*(1+((1-phimax_pore)/phimax_pore^2)*($A64/100))*($A64/100))</f>
        <v>0.259595312425338</v>
      </c>
    </row>
    <row r="65" customFormat="false" ht="15" hidden="false" customHeight="false" outlineLevel="0" collapsed="false">
      <c r="A65" s="4" t="n">
        <v>56</v>
      </c>
      <c r="B65" s="9" t="n">
        <f aca="false">B$5*(1+A_pore*B$6*($A65/100))/(1-B$6*(1+((1-phimax_pore)/phimax_pore^2)*($A65/100))*($A65/100))</f>
        <v>0.0425414871520245</v>
      </c>
      <c r="C65" s="9" t="n">
        <f aca="false">C$5*(1+A_pore*C$6*($A65/100))/(1-C$6*(1+((1-phimax_pore)/phimax_pore^2)*($A65/100))*($A65/100))</f>
        <v>0.0433454463176339</v>
      </c>
      <c r="D65" s="9" t="n">
        <f aca="false">D$5*(1+A_pore*D$6*($A65/100))/(1-D$6*(1+((1-phimax_pore)/phimax_pore^2)*($A65/100))*($A65/100))</f>
        <v>0.0441462257323044</v>
      </c>
      <c r="E65" s="9" t="n">
        <f aca="false">E$5*(1+A_pore*E$6*($A65/100))/(1-E$6*(1+((1-phimax_pore)/phimax_pore^2)*($A65/100))*($A65/100))</f>
        <v>0.0449486433401805</v>
      </c>
      <c r="F65" s="9" t="n">
        <f aca="false">F$5*(1+A_pore*F$6*($A65/100))/(1-F$6*(1+((1-phimax_pore)/phimax_pore^2)*($A65/100))*($A65/100))</f>
        <v>0.0457572970570201</v>
      </c>
      <c r="G65" s="9" t="n">
        <f aca="false">G$5*(1+A_pore*G$6*($A65/100))/(1-G$6*(1+((1-phimax_pore)/phimax_pore^2)*($A65/100))*($A65/100))</f>
        <v>0.0465766804300617</v>
      </c>
      <c r="H65" s="9" t="n">
        <f aca="false">H$5*(1+A_pore*H$6*($A65/100))/(1-H$6*(1+((1-phimax_pore)/phimax_pore^2)*($A65/100))*($A65/100))</f>
        <v>0.0474112877825622</v>
      </c>
      <c r="I65" s="9" t="n">
        <f aca="false">I$5*(1+A_pore*I$6*($A65/100))/(1-I$6*(1+((1-phimax_pore)/phimax_pore^2)*($A65/100))*($A65/100))</f>
        <v>0.048265714433648</v>
      </c>
      <c r="J65" s="9" t="n">
        <f aca="false">J$5*(1+A_pore*J$6*($A65/100))/(1-J$6*(1+((1-phimax_pore)/phimax_pore^2)*($A65/100))*($A65/100))</f>
        <v>0.0491447569255983</v>
      </c>
      <c r="K65" s="9" t="n">
        <f aca="false">K$5*(1+A_pore*K$6*($A65/100))/(1-K$6*(1+((1-phimax_pore)/phimax_pore^2)*($A65/100))*($A65/100))</f>
        <v>0.0500535179695552</v>
      </c>
      <c r="L65" s="9" t="n">
        <f aca="false">L$5*(1+A_pore*L$6*($A65/100))/(1-L$6*(1+((1-phimax_pore)/phimax_pore^2)*($A65/100))*($A65/100))</f>
        <v>0.0509975209898505</v>
      </c>
      <c r="M65" s="9" t="n">
        <f aca="false">M$5*(1+A_pore*M$6*($A65/100))/(1-M$6*(1+((1-phimax_pore)/phimax_pore^2)*($A65/100))*($A65/100))</f>
        <v>0.0519828397105901</v>
      </c>
      <c r="N65" s="9" t="n">
        <f aca="false">N$5*(1+A_pore*N$6*($A65/100))/(1-N$6*(1+((1-phimax_pore)/phimax_pore^2)*($A65/100))*($A65/100))</f>
        <v>0.0530162492391625</v>
      </c>
      <c r="O65" s="9" t="n">
        <f aca="false">O$5*(1+A_pore*O$6*($A65/100))/(1-O$6*(1+((1-phimax_pore)/phimax_pore^2)*($A65/100))*($A65/100))</f>
        <v>0.0541054066701695</v>
      </c>
      <c r="P65" s="9" t="n">
        <f aca="false">P$5*(1+A_pore*P$6*($A65/100))/(1-P$6*(1+((1-phimax_pore)/phimax_pore^2)*($A65/100))*($A65/100))</f>
        <v>0.0552590715448252</v>
      </c>
      <c r="Q65" s="9" t="n">
        <f aca="false">Q$5*(1+A_pore*Q$6*($A65/100))/(1-Q$6*(1+((1-phimax_pore)/phimax_pore^2)*($A65/100))*($A65/100))</f>
        <v>0.0564873798470278</v>
      </c>
      <c r="R65" s="9" t="n">
        <f aca="false">R$5*(1+A_pore*R$6*($A65/100))/(1-R$6*(1+((1-phimax_pore)/phimax_pore^2)*($A65/100))*($A65/100))</f>
        <v>0.0578021900514695</v>
      </c>
      <c r="S65" s="9" t="n">
        <f aca="false">S$5*(1+A_pore*S$6*($A65/100))/(1-S$6*(1+((1-phimax_pore)/phimax_pore^2)*($A65/100))*($A65/100))</f>
        <v>0.0592175267673294</v>
      </c>
      <c r="T65" s="9" t="n">
        <f aca="false">T$5*(1+A_pore*T$6*($A65/100))/(1-T$6*(1+((1-phimax_pore)/phimax_pore^2)*($A65/100))*($A65/100))</f>
        <v>0.0607501578552047</v>
      </c>
      <c r="U65" s="9" t="n">
        <f aca="false">U$5*(1+A_pore*U$6*($A65/100))/(1-U$6*(1+((1-phimax_pore)/phimax_pore^2)*($A65/100))*($A65/100))</f>
        <v>0.0624203563150494</v>
      </c>
      <c r="V65" s="9" t="n">
        <f aca="false">V$5*(1+A_pore*V$6*($A65/100))/(1-V$6*(1+((1-phimax_pore)/phimax_pore^2)*($A65/100))*($A65/100))</f>
        <v>0.0642529216556922</v>
      </c>
      <c r="W65" s="9" t="n">
        <f aca="false">W$5*(1+A_pore*W$6*($A65/100))/(1-W$6*(1+((1-phimax_pore)/phimax_pore^2)*($A65/100))*($A65/100))</f>
        <v>0.0662785717167579</v>
      </c>
      <c r="X65" s="9" t="n">
        <f aca="false">X$5*(1+A_pore*X$6*($A65/100))/(1-X$6*(1+((1-phimax_pore)/phimax_pore^2)*($A65/100))*($A65/100))</f>
        <v>0.0685358733380014</v>
      </c>
      <c r="Y65" s="9" t="n">
        <f aca="false">Y$5*(1+A_pore*Y$6*($A65/100))/(1-Y$6*(1+((1-phimax_pore)/phimax_pore^2)*($A65/100))*($A65/100))</f>
        <v>0.0710739735143454</v>
      </c>
      <c r="Z65" s="9" t="n">
        <f aca="false">Z$5*(1+A_pore*Z$6*($A65/100))/(1-Z$6*(1+((1-phimax_pore)/phimax_pore^2)*($A65/100))*($A65/100))</f>
        <v>0.0739565483918594</v>
      </c>
      <c r="AA65" s="9" t="n">
        <f aca="false">AA$5*(1+A_pore*AA$6*($A65/100))/(1-AA$6*(1+((1-phimax_pore)/phimax_pore^2)*($A65/100))*($A65/100))</f>
        <v>0.0772676558827245</v>
      </c>
      <c r="AB65" s="9" t="n">
        <f aca="false">AB$5*(1+A_pore*AB$6*($A65/100))/(1-AB$6*(1+((1-phimax_pore)/phimax_pore^2)*($A65/100))*($A65/100))</f>
        <v>0.0811206573557691</v>
      </c>
      <c r="AC65" s="9" t="n">
        <f aca="false">AC$5*(1+A_pore*AC$6*($A65/100))/(1-AC$6*(1+((1-phimax_pore)/phimax_pore^2)*($A65/100))*($A65/100))</f>
        <v>0.0856722672190319</v>
      </c>
      <c r="AD65" s="9" t="n">
        <f aca="false">AD$5*(1+A_pore*AD$6*($A65/100))/(1-AD$6*(1+((1-phimax_pore)/phimax_pore^2)*($A65/100))*($A65/100))</f>
        <v>0.0911455346535104</v>
      </c>
      <c r="AE65" s="9" t="n">
        <f aca="false">AE$5*(1+A_pore*AE$6*($A65/100))/(1-AE$6*(1+((1-phimax_pore)/phimax_pore^2)*($A65/100))*($A65/100))</f>
        <v>0.0978691693264751</v>
      </c>
      <c r="AF65" s="9" t="n">
        <f aca="false">AF$5*(1+A_pore*AF$6*($A65/100))/(1-AF$6*(1+((1-phimax_pore)/phimax_pore^2)*($A65/100))*($A65/100))</f>
        <v>0.106348596783619</v>
      </c>
      <c r="AG65" s="9" t="n">
        <f aca="false">AG$5*(1+A_pore*AG$6*($A65/100))/(1-AG$6*(1+((1-phimax_pore)/phimax_pore^2)*($A65/100))*($A65/100))</f>
        <v>0.117403253488891</v>
      </c>
      <c r="AH65" s="9" t="n">
        <f aca="false">AH$5*(1+A_pore*AH$6*($A65/100))/(1-AH$6*(1+((1-phimax_pore)/phimax_pore^2)*($A65/100))*($A65/100))</f>
        <v>0.132455417976223</v>
      </c>
      <c r="AI65" s="9" t="n">
        <f aca="false">AI$5*(1+A_pore*AI$6*($A65/100))/(1-AI$6*(1+((1-phimax_pore)/phimax_pore^2)*($A65/100))*($A65/100))</f>
        <v>0.154209697595746</v>
      </c>
      <c r="AJ65" s="9" t="n">
        <f aca="false">AJ$5*(1+A_pore*AJ$6*($A65/100))/(1-AJ$6*(1+((1-phimax_pore)/phimax_pore^2)*($A65/100))*($A65/100))</f>
        <v>0.188519016167329</v>
      </c>
      <c r="AK65" s="9" t="n">
        <f aca="false">AK$5*(1+A_pore*AK$6*($A65/100))/(1-AK$6*(1+((1-phimax_pore)/phimax_pore^2)*($A65/100))*($A65/100))</f>
        <v>0.250846473098926</v>
      </c>
    </row>
    <row r="66" customFormat="false" ht="15" hidden="false" customHeight="false" outlineLevel="0" collapsed="false">
      <c r="A66" s="4" t="n">
        <v>57</v>
      </c>
      <c r="B66" s="9" t="n">
        <f aca="false">B$5*(1+A_pore*B$6*($A66/100))/(1-B$6*(1+((1-phimax_pore)/phimax_pore^2)*($A66/100))*($A66/100))</f>
        <v>0.0419886526441168</v>
      </c>
      <c r="C66" s="9" t="n">
        <f aca="false">C$5*(1+A_pore*C$6*($A66/100))/(1-C$6*(1+((1-phimax_pore)/phimax_pore^2)*($A66/100))*($A66/100))</f>
        <v>0.0427608527663152</v>
      </c>
      <c r="D66" s="9" t="n">
        <f aca="false">D$5*(1+A_pore*D$6*($A66/100))/(1-D$6*(1+((1-phimax_pore)/phimax_pore^2)*($A66/100))*($A66/100))</f>
        <v>0.0435299334359101</v>
      </c>
      <c r="E66" s="9" t="n">
        <f aca="false">E$5*(1+A_pore*E$6*($A66/100))/(1-E$6*(1+((1-phimax_pore)/phimax_pore^2)*($A66/100))*($A66/100))</f>
        <v>0.0443005532301329</v>
      </c>
      <c r="F66" s="9" t="n">
        <f aca="false">F$5*(1+A_pore*F$6*($A66/100))/(1-F$6*(1+((1-phimax_pore)/phimax_pore^2)*($A66/100))*($A66/100))</f>
        <v>0.0450771530937829</v>
      </c>
      <c r="G66" s="9" t="n">
        <f aca="false">G$5*(1+A_pore*G$6*($A66/100))/(1-G$6*(1+((1-phimax_pore)/phimax_pore^2)*($A66/100))*($A66/100))</f>
        <v>0.0458640691299578</v>
      </c>
      <c r="H66" s="9" t="n">
        <f aca="false">H$5*(1+A_pore*H$6*($A66/100))/(1-H$6*(1+((1-phimax_pore)/phimax_pore^2)*($A66/100))*($A66/100))</f>
        <v>0.0466656348670677</v>
      </c>
      <c r="I66" s="9" t="n">
        <f aca="false">I$5*(1+A_pore*I$6*($A66/100))/(1-I$6*(1+((1-phimax_pore)/phimax_pore^2)*($A66/100))*($A66/100))</f>
        <v>0.0474862784981011</v>
      </c>
      <c r="J66" s="9" t="n">
        <f aca="false">J$5*(1+A_pore*J$6*($A66/100))/(1-J$6*(1+((1-phimax_pore)/phimax_pore^2)*($A66/100))*($A66/100))</f>
        <v>0.0483306199185785</v>
      </c>
      <c r="K66" s="9" t="n">
        <f aca="false">K$5*(1+A_pore*K$6*($A66/100))/(1-K$6*(1+((1-phimax_pore)/phimax_pore^2)*($A66/100))*($A66/100))</f>
        <v>0.0492035721526646</v>
      </c>
      <c r="L66" s="9" t="n">
        <f aca="false">L$5*(1+A_pore*L$6*($A66/100))/(1-L$6*(1+((1-phimax_pore)/phimax_pore^2)*($A66/100))*($A66/100))</f>
        <v>0.0501104519031872</v>
      </c>
      <c r="M66" s="9" t="n">
        <f aca="false">M$5*(1+A_pore*M$6*($A66/100))/(1-M$6*(1+((1-phimax_pore)/phimax_pore^2)*($A66/100))*($A66/100))</f>
        <v>0.0510571044920062</v>
      </c>
      <c r="N66" s="9" t="n">
        <f aca="false">N$5*(1+A_pore*N$6*($A66/100))/(1-N$6*(1+((1-phimax_pore)/phimax_pore^2)*($A66/100))*($A66/100))</f>
        <v>0.0520500494219522</v>
      </c>
      <c r="O66" s="9" t="n">
        <f aca="false">O$5*(1+A_pore*O$6*($A66/100))/(1-O$6*(1+((1-phimax_pore)/phimax_pore^2)*($A66/100))*($A66/100))</f>
        <v>0.0530966542953487</v>
      </c>
      <c r="P66" s="9" t="n">
        <f aca="false">P$5*(1+A_pore*P$6*($A66/100))/(1-P$6*(1+((1-phimax_pore)/phimax_pore^2)*($A66/100))*($A66/100))</f>
        <v>0.0542053470441446</v>
      </c>
      <c r="Q66" s="9" t="n">
        <f aca="false">Q$5*(1+A_pore*Q$6*($A66/100))/(1-Q$6*(1+((1-phimax_pore)/phimax_pore^2)*($A66/100))*($A66/100))</f>
        <v>0.0553858796432629</v>
      </c>
      <c r="R66" s="9" t="n">
        <f aca="false">R$5*(1+A_pore*R$6*($A66/100))/(1-R$6*(1+((1-phimax_pore)/phimax_pore^2)*($A66/100))*($A66/100))</f>
        <v>0.0566496611278114</v>
      </c>
      <c r="S66" s="9" t="n">
        <f aca="false">S$5*(1+A_pore*S$6*($A66/100))/(1-S$6*(1+((1-phimax_pore)/phimax_pore^2)*($A66/100))*($A66/100))</f>
        <v>0.0580101844953608</v>
      </c>
      <c r="T66" s="9" t="n">
        <f aca="false">T$5*(1+A_pore*T$6*($A66/100))/(1-T$6*(1+((1-phimax_pore)/phimax_pore^2)*($A66/100))*($A66/100))</f>
        <v>0.059483582016233</v>
      </c>
      <c r="U66" s="9" t="n">
        <f aca="false">U$5*(1+A_pore*U$6*($A66/100))/(1-U$6*(1+((1-phimax_pore)/phimax_pore^2)*($A66/100))*($A66/100))</f>
        <v>0.0610893583102289</v>
      </c>
      <c r="V66" s="9" t="n">
        <f aca="false">V$5*(1+A_pore*V$6*($A66/100))/(1-V$6*(1+((1-phimax_pore)/phimax_pore^2)*($A66/100))*($A66/100))</f>
        <v>0.0628513730740198</v>
      </c>
      <c r="W66" s="9" t="n">
        <f aca="false">W$5*(1+A_pore*W$6*($A66/100))/(1-W$6*(1+((1-phimax_pore)/phimax_pore^2)*($A66/100))*($A66/100))</f>
        <v>0.0647991802304455</v>
      </c>
      <c r="X66" s="9" t="n">
        <f aca="false">X$5*(1+A_pore*X$6*($A66/100))/(1-X$6*(1+((1-phimax_pore)/phimax_pore^2)*($A66/100))*($A66/100))</f>
        <v>0.0669698855207973</v>
      </c>
      <c r="Y66" s="9" t="n">
        <f aca="false">Y$5*(1+A_pore*Y$6*($A66/100))/(1-Y$6*(1+((1-phimax_pore)/phimax_pore^2)*($A66/100))*($A66/100))</f>
        <v>0.069410774274126</v>
      </c>
      <c r="Z66" s="9" t="n">
        <f aca="false">Z$5*(1+A_pore*Z$6*($A66/100))/(1-Z$6*(1+((1-phimax_pore)/phimax_pore^2)*($A66/100))*($A66/100))</f>
        <v>0.0721831109091525</v>
      </c>
      <c r="AA66" s="9" t="n">
        <f aca="false">AA$5*(1+A_pore*AA$6*($A66/100))/(1-AA$6*(1+((1-phimax_pore)/phimax_pore^2)*($A66/100))*($A66/100))</f>
        <v>0.0753677699849422</v>
      </c>
      <c r="AB66" s="9" t="n">
        <f aca="false">AB$5*(1+A_pore*AB$6*($A66/100))/(1-AB$6*(1+((1-phimax_pore)/phimax_pore^2)*($A66/100))*($A66/100))</f>
        <v>0.0790738201350482</v>
      </c>
      <c r="AC66" s="9" t="n">
        <f aca="false">AC$5*(1+A_pore*AC$6*($A66/100))/(1-AC$6*(1+((1-phimax_pore)/phimax_pore^2)*($A66/100))*($A66/100))</f>
        <v>0.0834520417584152</v>
      </c>
      <c r="AD66" s="9" t="n">
        <f aca="false">AD$5*(1+A_pore*AD$6*($A66/100))/(1-AD$6*(1+((1-phimax_pore)/phimax_pore^2)*($A66/100))*($A66/100))</f>
        <v>0.088717038703266</v>
      </c>
      <c r="AE66" s="9" t="n">
        <f aca="false">AE$5*(1+A_pore*AE$6*($A66/100))/(1-AE$6*(1+((1-phimax_pore)/phimax_pore^2)*($A66/100))*($A66/100))</f>
        <v>0.0951850751725058</v>
      </c>
      <c r="AF66" s="9" t="n">
        <f aca="false">AF$5*(1+A_pore*AF$6*($A66/100))/(1-AF$6*(1+((1-phimax_pore)/phimax_pore^2)*($A66/100))*($A66/100))</f>
        <v>0.103342441071912</v>
      </c>
      <c r="AG66" s="9" t="n">
        <f aca="false">AG$5*(1+A_pore*AG$6*($A66/100))/(1-AG$6*(1+((1-phimax_pore)/phimax_pore^2)*($A66/100))*($A66/100))</f>
        <v>0.113977549277398</v>
      </c>
      <c r="AH66" s="9" t="n">
        <f aca="false">AH$5*(1+A_pore*AH$6*($A66/100))/(1-AH$6*(1+((1-phimax_pore)/phimax_pore^2)*($A66/100))*($A66/100))</f>
        <v>0.128458832096787</v>
      </c>
      <c r="AI66" s="9" t="n">
        <f aca="false">AI$5*(1+A_pore*AI$6*($A66/100))/(1-AI$6*(1+((1-phimax_pore)/phimax_pore^2)*($A66/100))*($A66/100))</f>
        <v>0.149388503724327</v>
      </c>
      <c r="AJ66" s="9" t="n">
        <f aca="false">AJ$5*(1+A_pore*AJ$6*($A66/100))/(1-AJ$6*(1+((1-phimax_pore)/phimax_pore^2)*($A66/100))*($A66/100))</f>
        <v>0.182397904559223</v>
      </c>
      <c r="AK66" s="9" t="n">
        <f aca="false">AK$5*(1+A_pore*AK$6*($A66/100))/(1-AK$6*(1+((1-phimax_pore)/phimax_pore^2)*($A66/100))*($A66/100))</f>
        <v>0.242364724582499</v>
      </c>
    </row>
    <row r="67" customFormat="false" ht="15" hidden="false" customHeight="false" outlineLevel="0" collapsed="false">
      <c r="A67" s="4" t="n">
        <v>58</v>
      </c>
      <c r="B67" s="9" t="n">
        <f aca="false">B$5*(1+A_pore*B$6*($A67/100))/(1-B$6*(1+((1-phimax_pore)/phimax_pore^2)*($A67/100))*($A67/100))</f>
        <v>0.041447354328542</v>
      </c>
      <c r="C67" s="9" t="n">
        <f aca="false">C$5*(1+A_pore*C$6*($A67/100))/(1-C$6*(1+((1-phimax_pore)/phimax_pore^2)*($A67/100))*($A67/100))</f>
        <v>0.0421887965065488</v>
      </c>
      <c r="D67" s="9" t="n">
        <f aca="false">D$5*(1+A_pore*D$6*($A67/100))/(1-D$6*(1+((1-phimax_pore)/phimax_pore^2)*($A67/100))*($A67/100))</f>
        <v>0.0429271872022067</v>
      </c>
      <c r="E67" s="9" t="n">
        <f aca="false">E$5*(1+A_pore*E$6*($A67/100))/(1-E$6*(1+((1-phimax_pore)/phimax_pore^2)*($A67/100))*($A67/100))</f>
        <v>0.0436670283552317</v>
      </c>
      <c r="F67" s="9" t="n">
        <f aca="false">F$5*(1+A_pore*F$6*($A67/100))/(1-F$6*(1+((1-phimax_pore)/phimax_pore^2)*($A67/100))*($A67/100))</f>
        <v>0.0444126070458564</v>
      </c>
      <c r="G67" s="9" t="n">
        <f aca="false">G$5*(1+A_pore*G$6*($A67/100))/(1-G$6*(1+((1-phimax_pore)/phimax_pore^2)*($A67/100))*($A67/100))</f>
        <v>0.0451681054035491</v>
      </c>
      <c r="H67" s="9" t="n">
        <f aca="false">H$5*(1+A_pore*H$6*($A67/100))/(1-H$6*(1+((1-phimax_pore)/phimax_pore^2)*($A67/100))*($A67/100))</f>
        <v>0.0459377000078988</v>
      </c>
      <c r="I67" s="9" t="n">
        <f aca="false">I$5*(1+A_pore*I$6*($A67/100))/(1-I$6*(1+((1-phimax_pore)/phimax_pore^2)*($A67/100))*($A67/100))</f>
        <v>0.0467256561796568</v>
      </c>
      <c r="J67" s="9" t="n">
        <f aca="false">J$5*(1+A_pore*J$6*($A67/100))/(1-J$6*(1+((1-phimax_pore)/phimax_pore^2)*($A67/100))*($A67/100))</f>
        <v>0.0475364218814173</v>
      </c>
      <c r="K67" s="9" t="n">
        <f aca="false">K$5*(1+A_pore*K$6*($A67/100))/(1-K$6*(1+((1-phimax_pore)/phimax_pore^2)*($A67/100))*($A67/100))</f>
        <v>0.0483747256963025</v>
      </c>
      <c r="L67" s="9" t="n">
        <f aca="false">L$5*(1+A_pore*L$6*($A67/100))/(1-L$6*(1+((1-phimax_pore)/phimax_pore^2)*($A67/100))*($A67/100))</f>
        <v>0.0492456834779291</v>
      </c>
      <c r="M67" s="9" t="n">
        <f aca="false">M$5*(1+A_pore*M$6*($A67/100))/(1-M$6*(1+((1-phimax_pore)/phimax_pore^2)*($A67/100))*($A67/100))</f>
        <v>0.0501549187645014</v>
      </c>
      <c r="N67" s="9" t="n">
        <f aca="false">N$5*(1+A_pore*N$6*($A67/100))/(1-N$6*(1+((1-phimax_pore)/phimax_pore^2)*($A67/100))*($A67/100))</f>
        <v>0.0511087029702497</v>
      </c>
      <c r="O67" s="9" t="n">
        <f aca="false">O$5*(1+A_pore*O$6*($A67/100))/(1-O$6*(1+((1-phimax_pore)/phimax_pore^2)*($A67/100))*($A67/100))</f>
        <v>0.0521141228085075</v>
      </c>
      <c r="P67" s="9" t="n">
        <f aca="false">P$5*(1+A_pore*P$6*($A67/100))/(1-P$6*(1+((1-phimax_pore)/phimax_pore^2)*($A67/100))*($A67/100))</f>
        <v>0.0531792845322246</v>
      </c>
      <c r="Q67" s="9" t="n">
        <f aca="false">Q$5*(1+A_pore*Q$6*($A67/100))/(1-Q$6*(1+((1-phimax_pore)/phimax_pore^2)*($A67/100))*($A67/100))</f>
        <v>0.054313567668837</v>
      </c>
      <c r="R67" s="9" t="n">
        <f aca="false">R$5*(1+A_pore*R$6*($A67/100))/(1-R$6*(1+((1-phimax_pore)/phimax_pore^2)*($A67/100))*($A67/100))</f>
        <v>0.0555279453960973</v>
      </c>
      <c r="S67" s="9" t="n">
        <f aca="false">S$5*(1+A_pore*S$6*($A67/100))/(1-S$6*(1+((1-phimax_pore)/phimax_pore^2)*($A67/100))*($A67/100))</f>
        <v>0.0568353952066592</v>
      </c>
      <c r="T67" s="9" t="n">
        <f aca="false">T$5*(1+A_pore*T$6*($A67/100))/(1-T$6*(1+((1-phimax_pore)/phimax_pore^2)*($A67/100))*($A67/100))</f>
        <v>0.0582514330705809</v>
      </c>
      <c r="U67" s="9" t="n">
        <f aca="false">U$5*(1+A_pore*U$6*($A67/100))/(1-U$6*(1+((1-phimax_pore)/phimax_pore^2)*($A67/100))*($A67/100))</f>
        <v>0.0597948185736156</v>
      </c>
      <c r="V67" s="9" t="n">
        <f aca="false">V$5*(1+A_pore*V$6*($A67/100))/(1-V$6*(1+((1-phimax_pore)/phimax_pore^2)*($A67/100))*($A67/100))</f>
        <v>0.0614885001749756</v>
      </c>
      <c r="W67" s="9" t="n">
        <f aca="false">W$5*(1+A_pore*W$6*($A67/100))/(1-W$6*(1+((1-phimax_pore)/phimax_pore^2)*($A67/100))*($A67/100))</f>
        <v>0.0633609032838435</v>
      </c>
      <c r="X67" s="9" t="n">
        <f aca="false">X$5*(1+A_pore*X$6*($A67/100))/(1-X$6*(1+((1-phimax_pore)/phimax_pore^2)*($A67/100))*($A67/100))</f>
        <v>0.0654477169955622</v>
      </c>
      <c r="Y67" s="9" t="n">
        <f aca="false">Y$5*(1+A_pore*Y$6*($A67/100))/(1-Y$6*(1+((1-phimax_pore)/phimax_pore^2)*($A67/100))*($A67/100))</f>
        <v>0.0677944216184821</v>
      </c>
      <c r="Z67" s="9" t="n">
        <f aca="false">Z$5*(1+A_pore*Z$6*($A67/100))/(1-Z$6*(1+((1-phimax_pore)/phimax_pore^2)*($A67/100))*($A67/100))</f>
        <v>0.0704599432279252</v>
      </c>
      <c r="AA67" s="9" t="n">
        <f aca="false">AA$5*(1+A_pore*AA$6*($A67/100))/(1-AA$6*(1+((1-phimax_pore)/phimax_pore^2)*($A67/100))*($A67/100))</f>
        <v>0.0735220698912159</v>
      </c>
      <c r="AB67" s="9" t="n">
        <f aca="false">AB$5*(1+A_pore*AB$6*($A67/100))/(1-AB$6*(1+((1-phimax_pore)/phimax_pore^2)*($A67/100))*($A67/100))</f>
        <v>0.0770857081186936</v>
      </c>
      <c r="AC67" s="9" t="n">
        <f aca="false">AC$5*(1+A_pore*AC$6*($A67/100))/(1-AC$6*(1+((1-phimax_pore)/phimax_pore^2)*($A67/100))*($A67/100))</f>
        <v>0.0812958848417315</v>
      </c>
      <c r="AD67" s="9" t="n">
        <f aca="false">AD$5*(1+A_pore*AD$6*($A67/100))/(1-AD$6*(1+((1-phimax_pore)/phimax_pore^2)*($A67/100))*($A67/100))</f>
        <v>0.0863590155120132</v>
      </c>
      <c r="AE67" s="9" t="n">
        <f aca="false">AE$5*(1+A_pore*AE$6*($A67/100))/(1-AE$6*(1+((1-phimax_pore)/phimax_pore^2)*($A67/100))*($A67/100))</f>
        <v>0.0925792974862283</v>
      </c>
      <c r="AF67" s="9" t="n">
        <f aca="false">AF$5*(1+A_pore*AF$6*($A67/100))/(1-AF$6*(1+((1-phimax_pore)/phimax_pore^2)*($A67/100))*($A67/100))</f>
        <v>0.100424467157674</v>
      </c>
      <c r="AG67" s="9" t="n">
        <f aca="false">AG$5*(1+A_pore*AG$6*($A67/100))/(1-AG$6*(1+((1-phimax_pore)/phimax_pore^2)*($A67/100))*($A67/100))</f>
        <v>0.110652857560324</v>
      </c>
      <c r="AH67" s="9" t="n">
        <f aca="false">AH$5*(1+A_pore*AH$6*($A67/100))/(1-AH$6*(1+((1-phimax_pore)/phimax_pore^2)*($A67/100))*($A67/100))</f>
        <v>0.124580692759838</v>
      </c>
      <c r="AI67" s="9" t="n">
        <f aca="false">AI$5*(1+A_pore*AI$6*($A67/100))/(1-AI$6*(1+((1-phimax_pore)/phimax_pore^2)*($A67/100))*($A67/100))</f>
        <v>0.144710908516532</v>
      </c>
      <c r="AJ67" s="9" t="n">
        <f aca="false">AJ$5*(1+A_pore*AJ$6*($A67/100))/(1-AJ$6*(1+((1-phimax_pore)/phimax_pore^2)*($A67/100))*($A67/100))</f>
        <v>0.17646000214944</v>
      </c>
      <c r="AK67" s="9" t="n">
        <f aca="false">AK$5*(1+A_pore*AK$6*($A67/100))/(1-AK$6*(1+((1-phimax_pore)/phimax_pore^2)*($A67/100))*($A67/100))</f>
        <v>0.234138061680482</v>
      </c>
    </row>
    <row r="68" customFormat="false" ht="15" hidden="false" customHeight="false" outlineLevel="0" collapsed="false">
      <c r="A68" s="4" t="n">
        <v>59</v>
      </c>
      <c r="B68" s="9" t="n">
        <f aca="false">B$5*(1+A_pore*B$6*($A68/100))/(1-B$6*(1+((1-phimax_pore)/phimax_pore^2)*($A68/100))*($A68/100))</f>
        <v>0.0409172354823527</v>
      </c>
      <c r="C68" s="9" t="n">
        <f aca="false">C$5*(1+A_pore*C$6*($A68/100))/(1-C$6*(1+((1-phimax_pore)/phimax_pore^2)*($A68/100))*($A68/100))</f>
        <v>0.0416288792283785</v>
      </c>
      <c r="D68" s="9" t="n">
        <f aca="false">D$5*(1+A_pore*D$6*($A68/100))/(1-D$6*(1+((1-phimax_pore)/phimax_pore^2)*($A68/100))*($A68/100))</f>
        <v>0.0423375460886628</v>
      </c>
      <c r="E68" s="9" t="n">
        <f aca="false">E$5*(1+A_pore*E$6*($A68/100))/(1-E$6*(1+((1-phimax_pore)/phimax_pore^2)*($A68/100))*($A68/100))</f>
        <v>0.0430475840697543</v>
      </c>
      <c r="F68" s="9" t="n">
        <f aca="false">F$5*(1+A_pore*F$6*($A68/100))/(1-F$6*(1+((1-phimax_pore)/phimax_pore^2)*($A68/100))*($A68/100))</f>
        <v>0.0437631294378195</v>
      </c>
      <c r="G68" s="9" t="n">
        <f aca="false">G$5*(1+A_pore*G$6*($A68/100))/(1-G$6*(1+((1-phimax_pore)/phimax_pore^2)*($A68/100))*($A68/100))</f>
        <v>0.0444882137349551</v>
      </c>
      <c r="H68" s="9" t="n">
        <f aca="false">H$5*(1+A_pore*H$6*($A68/100))/(1-H$6*(1+((1-phimax_pore)/phimax_pore^2)*($A68/100))*($A68/100))</f>
        <v>0.0452268603265444</v>
      </c>
      <c r="I68" s="9" t="n">
        <f aca="false">I$5*(1+A_pore*I$6*($A68/100))/(1-I$6*(1+((1-phimax_pore)/phimax_pore^2)*($A68/100))*($A68/100))</f>
        <v>0.0459831757764979</v>
      </c>
      <c r="J68" s="9" t="n">
        <f aca="false">J$5*(1+A_pore*J$6*($A68/100))/(1-J$6*(1+((1-phimax_pore)/phimax_pore^2)*($A68/100))*($A68/100))</f>
        <v>0.0467614406616914</v>
      </c>
      <c r="K68" s="9" t="n">
        <f aca="false">K$5*(1+A_pore*K$6*($A68/100))/(1-K$6*(1+((1-phimax_pore)/phimax_pore^2)*($A68/100))*($A68/100))</f>
        <v>0.04756620417328</v>
      </c>
      <c r="L68" s="9" t="n">
        <f aca="false">L$5*(1+A_pore*L$6*($A68/100))/(1-L$6*(1+((1-phimax_pore)/phimax_pore^2)*($A68/100))*($A68/100))</f>
        <v>0.0484023869576009</v>
      </c>
      <c r="M68" s="9" t="n">
        <f aca="false">M$5*(1+A_pore*M$6*($A68/100))/(1-M$6*(1+((1-phimax_pore)/phimax_pore^2)*($A68/100))*($A68/100))</f>
        <v>0.0492753971193638</v>
      </c>
      <c r="N68" s="9" t="n">
        <f aca="false">N$5*(1+A_pore*N$6*($A68/100))/(1-N$6*(1+((1-phimax_pore)/phimax_pore^2)*($A68/100))*($A68/100))</f>
        <v>0.0501912651875781</v>
      </c>
      <c r="O68" s="9" t="n">
        <f aca="false">O$5*(1+A_pore*O$6*($A68/100))/(1-O$6*(1+((1-phimax_pore)/phimax_pore^2)*($A68/100))*($A68/100))</f>
        <v>0.0511568052252198</v>
      </c>
      <c r="P68" s="9" t="n">
        <f aca="false">P$5*(1+A_pore*P$6*($A68/100))/(1-P$6*(1+((1-phimax_pore)/phimax_pore^2)*($A68/100))*($A68/100))</f>
        <v>0.0521798113095305</v>
      </c>
      <c r="Q68" s="9" t="n">
        <f aca="false">Q$5*(1+A_pore*Q$6*($A68/100))/(1-Q$6*(1+((1-phimax_pore)/phimax_pore^2)*($A68/100))*($A68/100))</f>
        <v>0.0532693015794401</v>
      </c>
      <c r="R68" s="9" t="n">
        <f aca="false">R$5*(1+A_pore*R$6*($A68/100))/(1-R$6*(1+((1-phimax_pore)/phimax_pore^2)*($A68/100))*($A68/100))</f>
        <v>0.0544358263424485</v>
      </c>
      <c r="S68" s="9" t="n">
        <f aca="false">S$5*(1+A_pore*S$6*($A68/100))/(1-S$6*(1+((1-phimax_pore)/phimax_pore^2)*($A68/100))*($A68/100))</f>
        <v>0.0556918629829773</v>
      </c>
      <c r="T68" s="9" t="n">
        <f aca="false">T$5*(1+A_pore*T$6*($A68/100))/(1-T$6*(1+((1-phimax_pore)/phimax_pore^2)*($A68/100))*($A68/100))</f>
        <v>0.057052329606698</v>
      </c>
      <c r="U68" s="9" t="n">
        <f aca="false">U$5*(1+A_pore*U$6*($A68/100))/(1-U$6*(1+((1-phimax_pore)/phimax_pore^2)*($A68/100))*($A68/100))</f>
        <v>0.0585352630742966</v>
      </c>
      <c r="V68" s="9" t="n">
        <f aca="false">V$5*(1+A_pore*V$6*($A68/100))/(1-V$6*(1+((1-phimax_pore)/phimax_pore^2)*($A68/100))*($A68/100))</f>
        <v>0.0601627279097927</v>
      </c>
      <c r="W68" s="9" t="n">
        <f aca="false">W$5*(1+A_pore*W$6*($A68/100))/(1-W$6*(1+((1-phimax_pore)/phimax_pore^2)*($A68/100))*($A68/100))</f>
        <v>0.0619620548326266</v>
      </c>
      <c r="X68" s="9" t="n">
        <f aca="false">X$5*(1+A_pore*X$6*($A68/100))/(1-X$6*(1+((1-phimax_pore)/phimax_pore^2)*($A68/100))*($A68/100))</f>
        <v>0.0639675587594048</v>
      </c>
      <c r="Y68" s="9" t="n">
        <f aca="false">Y$5*(1+A_pore*Y$6*($A68/100))/(1-Y$6*(1+((1-phimax_pore)/phimax_pore^2)*($A68/100))*($A68/100))</f>
        <v>0.0662229690909367</v>
      </c>
      <c r="Z68" s="9" t="n">
        <f aca="false">Z$5*(1+A_pore*Z$6*($A68/100))/(1-Z$6*(1+((1-phimax_pore)/phimax_pore^2)*($A68/100))*($A68/100))</f>
        <v>0.0687849436609249</v>
      </c>
      <c r="AA68" s="9" t="n">
        <f aca="false">AA$5*(1+A_pore*AA$6*($A68/100))/(1-AA$6*(1+((1-phimax_pore)/phimax_pore^2)*($A68/100))*($A68/100))</f>
        <v>0.0717282765723727</v>
      </c>
      <c r="AB68" s="9" t="n">
        <f aca="false">AB$5*(1+A_pore*AB$6*($A68/100))/(1-AB$6*(1+((1-phimax_pore)/phimax_pore^2)*($A68/100))*($A68/100))</f>
        <v>0.0751538369788344</v>
      </c>
      <c r="AC68" s="9" t="n">
        <f aca="false">AC$5*(1+A_pore*AC$6*($A68/100))/(1-AC$6*(1+((1-phimax_pore)/phimax_pore^2)*($A68/100))*($A68/100))</f>
        <v>0.0792010708040099</v>
      </c>
      <c r="AD68" s="9" t="n">
        <f aca="false">AD$5*(1+A_pore*AD$6*($A68/100))/(1-AD$6*(1+((1-phimax_pore)/phimax_pore^2)*($A68/100))*($A68/100))</f>
        <v>0.0840684505367911</v>
      </c>
      <c r="AE68" s="9" t="n">
        <f aca="false">AE$5*(1+A_pore*AE$6*($A68/100))/(1-AE$6*(1+((1-phimax_pore)/phimax_pore^2)*($A68/100))*($A68/100))</f>
        <v>0.09004846835485</v>
      </c>
      <c r="AF68" s="9" t="n">
        <f aca="false">AF$5*(1+A_pore*AF$6*($A68/100))/(1-AF$6*(1+((1-phimax_pore)/phimax_pore^2)*($A68/100))*($A68/100))</f>
        <v>0.097590863203412</v>
      </c>
      <c r="AG68" s="9" t="n">
        <f aca="false">AG$5*(1+A_pore*AG$6*($A68/100))/(1-AG$6*(1+((1-phimax_pore)/phimax_pore^2)*($A68/100))*($A68/100))</f>
        <v>0.107424789766514</v>
      </c>
      <c r="AH68" s="9" t="n">
        <f aca="false">AH$5*(1+A_pore*AH$6*($A68/100))/(1-AH$6*(1+((1-phimax_pore)/phimax_pore^2)*($A68/100))*($A68/100))</f>
        <v>0.120815828514132</v>
      </c>
      <c r="AI68" s="9" t="n">
        <f aca="false">AI$5*(1+A_pore*AI$6*($A68/100))/(1-AI$6*(1+((1-phimax_pore)/phimax_pore^2)*($A68/100))*($A68/100))</f>
        <v>0.140170612038985</v>
      </c>
      <c r="AJ68" s="9" t="n">
        <f aca="false">AJ$5*(1+A_pore*AJ$6*($A68/100))/(1-AJ$6*(1+((1-phimax_pore)/phimax_pore^2)*($A68/100))*($A68/100))</f>
        <v>0.170697233134998</v>
      </c>
      <c r="AK68" s="9" t="n">
        <f aca="false">AK$5*(1+A_pore*AK$6*($A68/100))/(1-AK$6*(1+((1-phimax_pore)/phimax_pore^2)*($A68/100))*($A68/100))</f>
        <v>0.226155188039529</v>
      </c>
    </row>
    <row r="69" customFormat="false" ht="15" hidden="false" customHeight="false" outlineLevel="0" collapsed="false">
      <c r="A69" s="4" t="n">
        <v>60</v>
      </c>
      <c r="B69" s="9" t="n">
        <f aca="false">B$5*(1+A_pore*B$6*($A69/100))/(1-B$6*(1+((1-phimax_pore)/phimax_pore^2)*($A69/100))*($A69/100))</f>
        <v>0.0403979539397797</v>
      </c>
      <c r="C69" s="9" t="n">
        <f aca="false">C$5*(1+A_pore*C$6*($A69/100))/(1-C$6*(1+((1-phimax_pore)/phimax_pore^2)*($A69/100))*($A69/100))</f>
        <v>0.041080719317171</v>
      </c>
      <c r="D69" s="9" t="n">
        <f aca="false">D$5*(1+A_pore*D$6*($A69/100))/(1-D$6*(1+((1-phimax_pore)/phimax_pore^2)*($A69/100))*($A69/100))</f>
        <v>0.0417605880846948</v>
      </c>
      <c r="E69" s="9" t="n">
        <f aca="false">E$5*(1+A_pore*E$6*($A69/100))/(1-E$6*(1+((1-phimax_pore)/phimax_pore^2)*($A69/100))*($A69/100))</f>
        <v>0.0424417569933128</v>
      </c>
      <c r="F69" s="9" t="n">
        <f aca="false">F$5*(1+A_pore*F$6*($A69/100))/(1-F$6*(1+((1-phimax_pore)/phimax_pore^2)*($A69/100))*($A69/100))</f>
        <v>0.0431282144899742</v>
      </c>
      <c r="G69" s="9" t="n">
        <f aca="false">G$5*(1+A_pore*G$6*($A69/100))/(1-G$6*(1+((1-phimax_pore)/phimax_pore^2)*($A69/100))*($A69/100))</f>
        <v>0.0438238448335129</v>
      </c>
      <c r="H69" s="9" t="n">
        <f aca="false">H$5*(1+A_pore*H$6*($A69/100))/(1-H$6*(1+((1-phimax_pore)/phimax_pore^2)*($A69/100))*($A69/100))</f>
        <v>0.0445325218022396</v>
      </c>
      <c r="I69" s="9" t="n">
        <f aca="false">I$5*(1+A_pore*I$6*($A69/100))/(1-I$6*(1+((1-phimax_pore)/phimax_pore^2)*($A69/100))*($A69/100))</f>
        <v>0.0452581971858647</v>
      </c>
      <c r="J69" s="9" t="n">
        <f aca="false">J$5*(1+A_pore*J$6*($A69/100))/(1-J$6*(1+((1-phimax_pore)/phimax_pore^2)*($A69/100))*($A69/100))</f>
        <v>0.0460049885637578</v>
      </c>
      <c r="K69" s="9" t="n">
        <f aca="false">K$5*(1+A_pore*K$6*($A69/100))/(1-K$6*(1+((1-phimax_pore)/phimax_pore^2)*($A69/100))*($A69/100))</f>
        <v>0.0467772705969446</v>
      </c>
      <c r="L69" s="9" t="n">
        <f aca="false">L$5*(1+A_pore*L$6*($A69/100))/(1-L$6*(1+((1-phimax_pore)/phimax_pore^2)*($A69/100))*($A69/100))</f>
        <v>0.047579774147844</v>
      </c>
      <c r="M69" s="9" t="n">
        <f aca="false">M$5*(1+A_pore*M$6*($A69/100))/(1-M$6*(1+((1-phimax_pore)/phimax_pore^2)*($A69/100))*($A69/100))</f>
        <v>0.0484176979836175</v>
      </c>
      <c r="N69" s="9" t="n">
        <f aca="false">N$5*(1+A_pore*N$6*($A69/100))/(1-N$6*(1+((1-phimax_pore)/phimax_pore^2)*($A69/100))*($A69/100))</f>
        <v>0.049296838655834</v>
      </c>
      <c r="O69" s="9" t="n">
        <f aca="false">O$5*(1+A_pore*O$6*($A69/100))/(1-O$6*(1+((1-phimax_pore)/phimax_pore^2)*($A69/100))*($A69/100))</f>
        <v>0.0502237454712829</v>
      </c>
      <c r="P69" s="9" t="n">
        <f aca="false">P$5*(1+A_pore*P$6*($A69/100))/(1-P$6*(1+((1-phimax_pore)/phimax_pore^2)*($A69/100))*($A69/100))</f>
        <v>0.0512059094318083</v>
      </c>
      <c r="Q69" s="9" t="n">
        <f aca="false">Q$5*(1+A_pore*Q$6*($A69/100))/(1-Q$6*(1+((1-phimax_pore)/phimax_pore^2)*($A69/100))*($A69/100))</f>
        <v>0.0522519978728727</v>
      </c>
      <c r="R69" s="9" t="n">
        <f aca="false">R$5*(1+A_pore*R$6*($A69/100))/(1-R$6*(1+((1-phimax_pore)/phimax_pore^2)*($A69/100))*($A69/100))</f>
        <v>0.0533721506578179</v>
      </c>
      <c r="S69" s="9" t="n">
        <f aca="false">S$5*(1+A_pore*S$6*($A69/100))/(1-S$6*(1+((1-phimax_pore)/phimax_pore^2)*($A69/100))*($A69/100))</f>
        <v>0.0545783597904892</v>
      </c>
      <c r="T69" s="9" t="n">
        <f aca="false">T$5*(1+A_pore*T$6*($A69/100))/(1-T$6*(1+((1-phimax_pore)/phimax_pore^2)*($A69/100))*($A69/100))</f>
        <v>0.055884963143458</v>
      </c>
      <c r="U69" s="9" t="n">
        <f aca="false">U$5*(1+A_pore*U$6*($A69/100))/(1-U$6*(1+((1-phimax_pore)/phimax_pore^2)*($A69/100))*($A69/100))</f>
        <v>0.0573092961845847</v>
      </c>
      <c r="V69" s="9" t="n">
        <f aca="false">V$5*(1+A_pore*V$6*($A69/100))/(1-V$6*(1+((1-phimax_pore)/phimax_pore^2)*($A69/100))*($A69/100))</f>
        <v>0.0588725656068298</v>
      </c>
      <c r="W69" s="9" t="n">
        <f aca="false">W$5*(1+A_pore*W$6*($A69/100))/(1-W$6*(1+((1-phimax_pore)/phimax_pore^2)*($A69/100))*($A69/100))</f>
        <v>0.0606010397769995</v>
      </c>
      <c r="X69" s="9" t="n">
        <f aca="false">X$5*(1+A_pore*X$6*($A69/100))/(1-X$6*(1+((1-phimax_pore)/phimax_pore^2)*($A69/100))*($A69/100))</f>
        <v>0.0625277000312256</v>
      </c>
      <c r="Y69" s="9" t="n">
        <f aca="false">Y$5*(1+A_pore*Y$6*($A69/100))/(1-Y$6*(1+((1-phimax_pore)/phimax_pore^2)*($A69/100))*($A69/100))</f>
        <v>0.0646945765924824</v>
      </c>
      <c r="Z69" s="9" t="n">
        <f aca="false">Z$5*(1+A_pore*Z$6*($A69/100))/(1-Z$6*(1+((1-phimax_pore)/phimax_pore^2)*($A69/100))*($A69/100))</f>
        <v>0.0671561260651928</v>
      </c>
      <c r="AA69" s="9" t="n">
        <f aca="false">AA$5*(1+A_pore*AA$6*($A69/100))/(1-AA$6*(1+((1-phimax_pore)/phimax_pore^2)*($A69/100))*($A69/100))</f>
        <v>0.0699842370361417</v>
      </c>
      <c r="AB69" s="9" t="n">
        <f aca="false">AB$5*(1+A_pore*AB$6*($A69/100))/(1-AB$6*(1+((1-phimax_pore)/phimax_pore^2)*($A69/100))*($A69/100))</f>
        <v>0.0732758605664829</v>
      </c>
      <c r="AC69" s="9" t="n">
        <f aca="false">AC$5*(1+A_pore*AC$6*($A69/100))/(1-AC$6*(1+((1-phimax_pore)/phimax_pore^2)*($A69/100))*($A69/100))</f>
        <v>0.0771650264256616</v>
      </c>
      <c r="AD69" s="9" t="n">
        <f aca="false">AD$5*(1+A_pore*AD$6*($A69/100))/(1-AD$6*(1+((1-phimax_pore)/phimax_pore^2)*($A69/100))*($A69/100))</f>
        <v>0.0818424987474185</v>
      </c>
      <c r="AE69" s="9" t="n">
        <f aca="false">AE$5*(1+A_pore*AE$6*($A69/100))/(1-AE$6*(1+((1-phimax_pore)/phimax_pore^2)*($A69/100))*($A69/100))</f>
        <v>0.0875894102435365</v>
      </c>
      <c r="AF69" s="9" t="n">
        <f aca="false">AF$5*(1+A_pore*AF$6*($A69/100))/(1-AF$6*(1+((1-phimax_pore)/phimax_pore^2)*($A69/100))*($A69/100))</f>
        <v>0.094838033945411</v>
      </c>
      <c r="AG69" s="9" t="n">
        <f aca="false">AG$5*(1+A_pore*AG$6*($A69/100))/(1-AG$6*(1+((1-phimax_pore)/phimax_pore^2)*($A69/100))*($A69/100))</f>
        <v>0.104289207910268</v>
      </c>
      <c r="AH69" s="9" t="n">
        <f aca="false">AH$5*(1+A_pore*AH$6*($A69/100))/(1-AH$6*(1+((1-phimax_pore)/phimax_pore^2)*($A69/100))*($A69/100))</f>
        <v>0.117159364634917</v>
      </c>
      <c r="AI69" s="9" t="n">
        <f aca="false">AI$5*(1+A_pore*AI$6*($A69/100))/(1-AI$6*(1+((1-phimax_pore)/phimax_pore^2)*($A69/100))*($A69/100))</f>
        <v>0.135761677557636</v>
      </c>
      <c r="AJ69" s="9" t="n">
        <f aca="false">AJ$5*(1+A_pore*AJ$6*($A69/100))/(1-AJ$6*(1+((1-phimax_pore)/phimax_pore^2)*($A69/100))*($A69/100))</f>
        <v>0.165101989467241</v>
      </c>
      <c r="AK69" s="9" t="n">
        <f aca="false">AK$5*(1+A_pore*AK$6*($A69/100))/(1-AK$6*(1+((1-phimax_pore)/phimax_pore^2)*($A69/100))*($A69/100))</f>
        <v>0.218405464592896</v>
      </c>
    </row>
    <row r="70" customFormat="false" ht="15" hidden="false" customHeight="false" outlineLevel="0" collapsed="false">
      <c r="A70" s="4" t="n">
        <v>61</v>
      </c>
      <c r="B70" s="9" t="n">
        <f aca="false">B$5*(1+A_pore*B$6*($A70/100))/(1-B$6*(1+((1-phimax_pore)/phimax_pore^2)*($A70/100))*($A70/100))</f>
        <v>0.0398891813571675</v>
      </c>
      <c r="C70" s="9" t="n">
        <f aca="false">C$5*(1+A_pore*C$6*($A70/100))/(1-C$6*(1+((1-phimax_pore)/phimax_pore^2)*($A70/100))*($A70/100))</f>
        <v>0.0405439509879477</v>
      </c>
      <c r="D70" s="9" t="n">
        <f aca="false">D$5*(1+A_pore*D$6*($A70/100))/(1-D$6*(1+((1-phimax_pore)/phimax_pore^2)*($A70/100))*($A70/100))</f>
        <v>0.041195909106399</v>
      </c>
      <c r="E70" s="9" t="n">
        <f aca="false">E$5*(1+A_pore*E$6*($A70/100))/(1-E$6*(1+((1-phimax_pore)/phimax_pore^2)*($A70/100))*($A70/100))</f>
        <v>0.0418491038571567</v>
      </c>
      <c r="F70" s="9" t="n">
        <f aca="false">F$5*(1+A_pore*F$6*($A70/100))/(1-F$6*(1+((1-phimax_pore)/phimax_pore^2)*($A70/100))*($A70/100))</f>
        <v>0.042507378807438</v>
      </c>
      <c r="G70" s="9" t="n">
        <f aca="false">G$5*(1+A_pore*G$6*($A70/100))/(1-G$6*(1+((1-phimax_pore)/phimax_pore^2)*($A70/100))*($A70/100))</f>
        <v>0.0431744741568098</v>
      </c>
      <c r="H70" s="9" t="n">
        <f aca="false">H$5*(1+A_pore*H$6*($A70/100))/(1-H$6*(1+((1-phimax_pore)/phimax_pore^2)*($A70/100))*($A70/100))</f>
        <v>0.04385411761989</v>
      </c>
      <c r="I70" s="9" t="n">
        <f aca="false">I$5*(1+A_pore*I$6*($A70/100))/(1-I$6*(1+((1-phimax_pore)/phimax_pore^2)*($A70/100))*($A70/100))</f>
        <v>0.0445501100675014</v>
      </c>
      <c r="J70" s="9" t="n">
        <f aca="false">J$5*(1+A_pore*J$6*($A70/100))/(1-J$6*(1+((1-phimax_pore)/phimax_pore^2)*($A70/100))*($A70/100))</f>
        <v>0.0452664103178912</v>
      </c>
      <c r="K70" s="9" t="n">
        <f aca="false">K$5*(1+A_pore*K$6*($A70/100))/(1-K$6*(1+((1-phimax_pore)/phimax_pore^2)*($A70/100))*($A70/100))</f>
        <v>0.0460072231855713</v>
      </c>
      <c r="L70" s="9" t="n">
        <f aca="false">L$5*(1+A_pore*L$6*($A70/100))/(1-L$6*(1+((1-phimax_pore)/phimax_pore^2)*($A70/100))*($A70/100))</f>
        <v>0.0467770949648563</v>
      </c>
      <c r="M70" s="9" t="n">
        <f aca="false">M$5*(1+A_pore*M$6*($A70/100))/(1-M$6*(1+((1-phimax_pore)/phimax_pore^2)*($A70/100))*($A70/100))</f>
        <v>0.0475810209403583</v>
      </c>
      <c r="N70" s="9" t="n">
        <f aca="false">N$5*(1+A_pore*N$6*($A70/100))/(1-N$6*(1+((1-phimax_pore)/phimax_pore^2)*($A70/100))*($A70/100))</f>
        <v>0.0484245703142122</v>
      </c>
      <c r="O70" s="9" t="n">
        <f aca="false">O$5*(1+A_pore*O$6*($A70/100))/(1-O$6*(1+((1-phimax_pore)/phimax_pore^2)*($A70/100))*($A70/100))</f>
        <v>0.0493140352055325</v>
      </c>
      <c r="P70" s="9" t="n">
        <f aca="false">P$5*(1+A_pore*P$6*($A70/100))/(1-P$6*(1+((1-phimax_pore)/phimax_pore^2)*($A70/100))*($A70/100))</f>
        <v>0.0502566122604212</v>
      </c>
      <c r="Q70" s="9" t="n">
        <f aca="false">Q$5*(1+A_pore*Q$6*($A70/100))/(1-Q$6*(1+((1-phimax_pore)/phimax_pore^2)*($A70/100))*($A70/100))</f>
        <v>0.0512606281485211</v>
      </c>
      <c r="R70" s="9" t="n">
        <f aca="false">R$5*(1+A_pore*R$6*($A70/100))/(1-R$6*(1+((1-phimax_pore)/phimax_pore^2)*($A70/100))*($A70/100))</f>
        <v>0.0523358241858095</v>
      </c>
      <c r="S70" s="9" t="n">
        <f aca="false">S$5*(1+A_pore*S$6*($A70/100))/(1-S$6*(1+((1-phimax_pore)/phimax_pore^2)*($A70/100))*($A70/100))</f>
        <v>0.0534937210922405</v>
      </c>
      <c r="T70" s="9" t="n">
        <f aca="false">T$5*(1+A_pore*T$6*($A70/100))/(1-T$6*(1+((1-phimax_pore)/phimax_pore^2)*($A70/100))*($A70/100))</f>
        <v>0.0547480933799816</v>
      </c>
      <c r="U70" s="9" t="n">
        <f aca="false">U$5*(1+A_pore*U$6*($A70/100))/(1-U$6*(1+((1-phimax_pore)/phimax_pore^2)*($A70/100))*($A70/100))</f>
        <v>0.0561155955356239</v>
      </c>
      <c r="V70" s="9" t="n">
        <f aca="false">V$5*(1+A_pore*V$6*($A70/100))/(1-V$6*(1+((1-phimax_pore)/phimax_pore^2)*($A70/100))*($A70/100))</f>
        <v>0.0576166013960223</v>
      </c>
      <c r="W70" s="9" t="n">
        <f aca="false">W$5*(1+A_pore*W$6*($A70/100))/(1-W$6*(1+((1-phimax_pore)/phimax_pore^2)*($A70/100))*($A70/100))</f>
        <v>0.0592763479113984</v>
      </c>
      <c r="X70" s="9" t="n">
        <f aca="false">X$5*(1+A_pore*X$6*($A70/100))/(1-X$6*(1+((1-phimax_pore)/phimax_pore^2)*($A70/100))*($A70/100))</f>
        <v>0.06112652167467</v>
      </c>
      <c r="Y70" s="9" t="n">
        <f aca="false">Y$5*(1+A_pore*Y$6*($A70/100))/(1-Y$6*(1+((1-phimax_pore)/phimax_pore^2)*($A70/100))*($A70/100))</f>
        <v>0.0632075032150537</v>
      </c>
      <c r="Z70" s="9" t="n">
        <f aca="false">Z$5*(1+A_pore*Z$6*($A70/100))/(1-Z$6*(1+((1-phimax_pore)/phimax_pore^2)*($A70/100))*($A70/100))</f>
        <v>0.0655716120093824</v>
      </c>
      <c r="AA70" s="9" t="n">
        <f aca="false">AA$5*(1+A_pore*AA$6*($A70/100))/(1-AA$6*(1+((1-phimax_pore)/phimax_pore^2)*($A70/100))*($A70/100))</f>
        <v>0.0682879157332158</v>
      </c>
      <c r="AB70" s="9" t="n">
        <f aca="false">AB$5*(1+A_pore*AB$6*($A70/100))/(1-AB$6*(1+((1-phimax_pore)/phimax_pore^2)*($A70/100))*($A70/100))</f>
        <v>0.0714495614363631</v>
      </c>
      <c r="AC70" s="9" t="n">
        <f aca="false">AC$5*(1+A_pore*AC$6*($A70/100))/(1-AC$6*(1+((1-phimax_pore)/phimax_pore^2)*($A70/100))*($A70/100))</f>
        <v>0.0751853204216831</v>
      </c>
      <c r="AD70" s="9" t="n">
        <f aca="false">AD$5*(1+A_pore*AD$6*($A70/100))/(1-AD$6*(1+((1-phimax_pore)/phimax_pore^2)*($A70/100))*($A70/100))</f>
        <v>0.0796784728766906</v>
      </c>
      <c r="AE70" s="9" t="n">
        <f aca="false">AE$5*(1+A_pore*AE$6*($A70/100))/(1-AE$6*(1+((1-phimax_pore)/phimax_pore^2)*($A70/100))*($A70/100))</f>
        <v>0.0851991227309983</v>
      </c>
      <c r="AF70" s="9" t="n">
        <f aca="false">AF$5*(1+A_pore*AF$6*($A70/100))/(1-AF$6*(1+((1-phimax_pore)/phimax_pore^2)*($A70/100))*($A70/100))</f>
        <v>0.0921625855280547</v>
      </c>
      <c r="AG70" s="9" t="n">
        <f aca="false">AG$5*(1+A_pore*AG$6*($A70/100))/(1-AG$6*(1+((1-phimax_pore)/phimax_pore^2)*($A70/100))*($A70/100))</f>
        <v>0.101242206957672</v>
      </c>
      <c r="AH70" s="9" t="n">
        <f aca="false">AH$5*(1+A_pore*AH$6*($A70/100))/(1-AH$6*(1+((1-phimax_pore)/phimax_pore^2)*($A70/100))*($A70/100))</f>
        <v>0.113606702143004</v>
      </c>
      <c r="AI70" s="9" t="n">
        <f aca="false">AI$5*(1+A_pore*AI$6*($A70/100))/(1-AI$6*(1+((1-phimax_pore)/phimax_pore^2)*($A70/100))*($A70/100))</f>
        <v>0.131478505735995</v>
      </c>
      <c r="AJ70" s="9" t="n">
        <f aca="false">AJ$5*(1+A_pore*AJ$6*($A70/100))/(1-AJ$6*(1+((1-phimax_pore)/phimax_pore^2)*($A70/100))*($A70/100))</f>
        <v>0.159667097469533</v>
      </c>
      <c r="AK70" s="9" t="n">
        <f aca="false">AK$5*(1+A_pore*AK$6*($A70/100))/(1-AK$6*(1+((1-phimax_pore)/phimax_pore^2)*($A70/100))*($A70/100))</f>
        <v>0.210878862440012</v>
      </c>
    </row>
    <row r="71" customFormat="false" ht="15" hidden="false" customHeight="false" outlineLevel="0" collapsed="false">
      <c r="A71" s="4" t="n">
        <v>62</v>
      </c>
      <c r="B71" s="9" t="n">
        <f aca="false">B$5*(1+A_pore*B$6*($A71/100))/(1-B$6*(1+((1-phimax_pore)/phimax_pore^2)*($A71/100))*($A71/100))</f>
        <v>0.0393906025220063</v>
      </c>
      <c r="C71" s="9" t="n">
        <f aca="false">C$5*(1+A_pore*C$6*($A71/100))/(1-C$6*(1+((1-phimax_pore)/phimax_pore^2)*($A71/100))*($A71/100))</f>
        <v>0.0400182234730279</v>
      </c>
      <c r="D71" s="9" t="n">
        <f aca="false">D$5*(1+A_pore*D$6*($A71/100))/(1-D$6*(1+((1-phimax_pore)/phimax_pore^2)*($A71/100))*($A71/100))</f>
        <v>0.0406431220546653</v>
      </c>
      <c r="E71" s="9" t="n">
        <f aca="false">E$5*(1+A_pore*E$6*($A71/100))/(1-E$6*(1+((1-phimax_pore)/phimax_pore^2)*($A71/100))*($A71/100))</f>
        <v>0.0412692004247779</v>
      </c>
      <c r="F71" s="9" t="n">
        <f aca="false">F$5*(1+A_pore*F$6*($A71/100))/(1-F$6*(1+((1-phimax_pore)/phimax_pore^2)*($A71/100))*($A71/100))</f>
        <v>0.0419001601553113</v>
      </c>
      <c r="G71" s="9" t="n">
        <f aca="false">G$5*(1+A_pore*G$6*($A71/100))/(1-G$6*(1+((1-phimax_pore)/phimax_pore^2)*($A71/100))*($A71/100))</f>
        <v>0.0425396005324183</v>
      </c>
      <c r="H71" s="9" t="n">
        <f aca="false">H$5*(1+A_pore*H$6*($A71/100))/(1-H$6*(1+((1-phimax_pore)/phimax_pore^2)*($A71/100))*($A71/100))</f>
        <v>0.0431911066302055</v>
      </c>
      <c r="I71" s="9" t="n">
        <f aca="false">I$5*(1+A_pore*I$6*($A71/100))/(1-I$6*(1+((1-phimax_pore)/phimax_pore^2)*($A71/100))*($A71/100))</f>
        <v>0.0438583321337185</v>
      </c>
      <c r="J71" s="9" t="n">
        <f aca="false">J$5*(1+A_pore*J$6*($A71/100))/(1-J$6*(1+((1-phimax_pore)/phimax_pore^2)*($A71/100))*($A71/100))</f>
        <v>0.0445450811913849</v>
      </c>
      <c r="K71" s="9" t="n">
        <f aca="false">K$5*(1+A_pore*K$6*($A71/100))/(1-K$6*(1+((1-phimax_pore)/phimax_pore^2)*($A71/100))*($A71/100))</f>
        <v>0.0452553932850514</v>
      </c>
      <c r="L71" s="9" t="n">
        <f aca="false">L$5*(1+A_pore*L$6*($A71/100))/(1-L$6*(1+((1-phimax_pore)/phimax_pore^2)*($A71/100))*($A71/100))</f>
        <v>0.0459936351595144</v>
      </c>
      <c r="M71" s="9" t="n">
        <f aca="false">M$5*(1+A_pore*M$6*($A71/100))/(1-M$6*(1+((1-phimax_pore)/phimax_pore^2)*($A71/100))*($A71/100))</f>
        <v>0.0467646042432836</v>
      </c>
      <c r="N71" s="9" t="n">
        <f aca="false">N$5*(1+A_pore*N$6*($A71/100))/(1-N$6*(1+((1-phimax_pore)/phimax_pore^2)*($A71/100))*($A71/100))</f>
        <v>0.0475736487520603</v>
      </c>
      <c r="O71" s="9" t="n">
        <f aca="false">O$5*(1+A_pore*O$6*($A71/100))/(1-O$6*(1+((1-phimax_pore)/phimax_pore^2)*($A71/100))*($A71/100))</f>
        <v>0.0484268108776618</v>
      </c>
      <c r="P71" s="9" t="n">
        <f aca="false">P$5*(1+A_pore*P$6*($A71/100))/(1-P$6*(1+((1-phimax_pore)/phimax_pore^2)*($A71/100))*($A71/100))</f>
        <v>0.0493310012702395</v>
      </c>
      <c r="Q71" s="9" t="n">
        <f aca="false">Q$5*(1+A_pore*Q$6*($A71/100))/(1-Q$6*(1+((1-phimax_pore)/phimax_pore^2)*($A71/100))*($A71/100))</f>
        <v>0.0502942156485884</v>
      </c>
      <c r="R71" s="9" t="n">
        <f aca="false">R$5*(1+A_pore*R$6*($A71/100))/(1-R$6*(1+((1-phimax_pore)/phimax_pore^2)*($A71/100))*($A71/100))</f>
        <v>0.0513258081783036</v>
      </c>
      <c r="S71" s="9" t="n">
        <f aca="false">S$5*(1+A_pore*S$6*($A71/100))/(1-S$6*(1+((1-phimax_pore)/phimax_pore^2)*($A71/100))*($A71/100))</f>
        <v>0.0524368417965506</v>
      </c>
      <c r="T71" s="9" t="n">
        <f aca="false">T$5*(1+A_pore*T$6*($A71/100))/(1-T$6*(1+((1-phimax_pore)/phimax_pore^2)*($A71/100))*($A71/100))</f>
        <v>0.0536405438119573</v>
      </c>
      <c r="U71" s="9" t="n">
        <f aca="false">U$5*(1+A_pore*U$6*($A71/100))/(1-U$6*(1+((1-phimax_pore)/phimax_pore^2)*($A71/100))*($A71/100))</f>
        <v>0.0549529072728043</v>
      </c>
      <c r="V71" s="9" t="n">
        <f aca="false">V$5*(1+A_pore*V$6*($A71/100))/(1-V$6*(1+((1-phimax_pore)/phimax_pore^2)*($A71/100))*($A71/100))</f>
        <v>0.0563934970696791</v>
      </c>
      <c r="W71" s="9" t="n">
        <f aca="false">W$5*(1+A_pore*W$6*($A71/100))/(1-W$6*(1+((1-phimax_pore)/phimax_pore^2)*($A71/100))*($A71/100))</f>
        <v>0.0579865483508614</v>
      </c>
      <c r="X71" s="9" t="n">
        <f aca="false">X$5*(1+A_pore*X$6*($A71/100))/(1-X$6*(1+((1-phimax_pore)/phimax_pore^2)*($A71/100))*($A71/100))</f>
        <v>0.0597624901425861</v>
      </c>
      <c r="Y71" s="9" t="n">
        <f aca="false">Y$5*(1+A_pore*Y$6*($A71/100))/(1-Y$6*(1+((1-phimax_pore)/phimax_pore^2)*($A71/100))*($A71/100))</f>
        <v>0.0617601006467646</v>
      </c>
      <c r="Z71" s="9" t="n">
        <f aca="false">Z$5*(1+A_pore*Z$6*($A71/100))/(1-Z$6*(1+((1-phimax_pore)/phimax_pore^2)*($A71/100))*($A71/100))</f>
        <v>0.0640296235697224</v>
      </c>
      <c r="AA71" s="9" t="n">
        <f aca="false">AA$5*(1+A_pore*AA$6*($A71/100))/(1-AA$6*(1+((1-phimax_pore)/phimax_pore^2)*($A71/100))*($A71/100))</f>
        <v>0.0666373866570365</v>
      </c>
      <c r="AB71" s="9" t="n">
        <f aca="false">AB$5*(1+A_pore*AB$6*($A71/100))/(1-AB$6*(1+((1-phimax_pore)/phimax_pore^2)*($A71/100))*($A71/100))</f>
        <v>0.0696728421408654</v>
      </c>
      <c r="AC71" s="9" t="n">
        <f aca="false">AC$5*(1+A_pore*AC$6*($A71/100))/(1-AC$6*(1+((1-phimax_pore)/phimax_pore^2)*($A71/100))*($A71/100))</f>
        <v>0.0732596537886697</v>
      </c>
      <c r="AD71" s="9" t="n">
        <f aca="false">AD$5*(1+A_pore*AD$6*($A71/100))/(1-AD$6*(1+((1-phimax_pore)/phimax_pore^2)*($A71/100))*($A71/100))</f>
        <v>0.0775738326345389</v>
      </c>
      <c r="AE71" s="9" t="n">
        <f aca="false">AE$5*(1+A_pore*AE$6*($A71/100))/(1-AE$6*(1+((1-phimax_pore)/phimax_pore^2)*($A71/100))*($A71/100))</f>
        <v>0.0828747703388583</v>
      </c>
      <c r="AF71" s="9" t="n">
        <f aca="false">AF$5*(1+A_pore*AF$6*($A71/100))/(1-AF$6*(1+((1-phimax_pore)/phimax_pore^2)*($A71/100))*($A71/100))</f>
        <v>0.0895613115949197</v>
      </c>
      <c r="AG71" s="9" t="n">
        <f aca="false">AG$5*(1+A_pore*AG$6*($A71/100))/(1-AG$6*(1+((1-phimax_pore)/phimax_pore^2)*($A71/100))*($A71/100))</f>
        <v>0.0982800986613084</v>
      </c>
      <c r="AH71" s="9" t="n">
        <f aca="false">AH$5*(1+A_pore*AH$6*($A71/100))/(1-AH$6*(1+((1-phimax_pore)/phimax_pore^2)*($A71/100))*($A71/100))</f>
        <v>0.110153498579236</v>
      </c>
      <c r="AI71" s="9" t="n">
        <f aca="false">AI$5*(1+A_pore*AI$6*($A71/100))/(1-AI$6*(1+((1-phimax_pore)/phimax_pore^2)*($A71/100))*($A71/100))</f>
        <v>0.127315811002122</v>
      </c>
      <c r="AJ71" s="9" t="n">
        <f aca="false">AJ$5*(1+A_pore*AJ$6*($A71/100))/(1-AJ$6*(1+((1-phimax_pore)/phimax_pore^2)*($A71/100))*($A71/100))</f>
        <v>0.1543857872736</v>
      </c>
      <c r="AK71" s="9" t="n">
        <f aca="false">AK$5*(1+A_pore*AK$6*($A71/100))/(1-AK$6*(1+((1-phimax_pore)/phimax_pore^2)*($A71/100))*($A71/100))</f>
        <v>0.203565919722375</v>
      </c>
    </row>
    <row r="72" customFormat="false" ht="15" hidden="false" customHeight="false" outlineLevel="0" collapsed="false">
      <c r="A72" s="4" t="n">
        <v>63</v>
      </c>
      <c r="B72" s="9" t="n">
        <f aca="false">B$5*(1+A_pore*B$6*($A72/100))/(1-B$6*(1+((1-phimax_pore)/phimax_pore^2)*($A72/100))*($A72/100))</f>
        <v>0.0389019147030023</v>
      </c>
      <c r="C72" s="9" t="n">
        <f aca="false">C$5*(1+A_pore*C$6*($A72/100))/(1-C$6*(1+((1-phimax_pore)/phimax_pore^2)*($A72/100))*($A72/100))</f>
        <v>0.0395032002591889</v>
      </c>
      <c r="D72" s="9" t="n">
        <f aca="false">D$5*(1+A_pore*D$6*($A72/100))/(1-D$6*(1+((1-phimax_pore)/phimax_pore^2)*($A72/100))*($A72/100))</f>
        <v>0.0401018559320586</v>
      </c>
      <c r="E72" s="9" t="n">
        <f aca="false">E$5*(1+A_pore*E$6*($A72/100))/(1-E$6*(1+((1-phimax_pore)/phimax_pore^2)*($A72/100))*($A72/100))</f>
        <v>0.0407016404812961</v>
      </c>
      <c r="F72" s="9" t="n">
        <f aca="false">F$5*(1+A_pore*F$6*($A72/100))/(1-F$6*(1+((1-phimax_pore)/phimax_pore^2)*($A72/100))*($A72/100))</f>
        <v>0.0413061163133975</v>
      </c>
      <c r="G72" s="9" t="n">
        <f aca="false">G$5*(1+A_pore*G$6*($A72/100))/(1-G$6*(1+((1-phimax_pore)/phimax_pore^2)*($A72/100))*($A72/100))</f>
        <v>0.041918744870728</v>
      </c>
      <c r="H72" s="9" t="n">
        <f aca="false">H$5*(1+A_pore*H$6*($A72/100))/(1-H$6*(1+((1-phimax_pore)/phimax_pore^2)*($A72/100))*($A72/100))</f>
        <v>0.0425429719132534</v>
      </c>
      <c r="I72" s="9" t="n">
        <f aca="false">I$5*(1+A_pore*I$6*($A72/100))/(1-I$6*(1+((1-phimax_pore)/phimax_pore^2)*($A72/100))*($A72/100))</f>
        <v>0.0431823075560063</v>
      </c>
      <c r="J72" s="9" t="n">
        <f aca="false">J$5*(1+A_pore*J$6*($A72/100))/(1-J$6*(1+((1-phimax_pore)/phimax_pore^2)*($A72/100))*($A72/100))</f>
        <v>0.0438404052301714</v>
      </c>
      <c r="K72" s="9" t="n">
        <f aca="false">K$5*(1+A_pore*K$6*($A72/100))/(1-K$6*(1+((1-phimax_pore)/phimax_pore^2)*($A72/100))*($A72/100))</f>
        <v>0.044521143436955</v>
      </c>
      <c r="L72" s="9" t="n">
        <f aca="false">L$5*(1+A_pore*L$6*($A72/100))/(1-L$6*(1+((1-phimax_pore)/phimax_pore^2)*($A72/100))*($A72/100))</f>
        <v>0.0452287142026632</v>
      </c>
      <c r="M72" s="9" t="n">
        <f aca="false">M$5*(1+A_pore*M$6*($A72/100))/(1-M$6*(1+((1-phimax_pore)/phimax_pore^2)*($A72/100))*($A72/100))</f>
        <v>0.0459677225091938</v>
      </c>
      <c r="N72" s="9" t="n">
        <f aca="false">N$5*(1+A_pore*N$6*($A72/100))/(1-N$6*(1+((1-phimax_pore)/phimax_pore^2)*($A72/100))*($A72/100))</f>
        <v>0.0467433016976035</v>
      </c>
      <c r="O72" s="9" t="n">
        <f aca="false">O$5*(1+A_pore*O$6*($A72/100))/(1-O$6*(1+((1-phimax_pore)/phimax_pore^2)*($A72/100))*($A72/100))</f>
        <v>0.0475612510010112</v>
      </c>
      <c r="P72" s="9" t="n">
        <f aca="false">P$5*(1+A_pore*P$6*($A72/100))/(1-P$6*(1+((1-phimax_pore)/phimax_pore^2)*($A72/100))*($A72/100))</f>
        <v>0.0484282030929291</v>
      </c>
      <c r="Q72" s="9" t="n">
        <f aca="false">Q$5*(1+A_pore*Q$6*($A72/100))/(1-Q$6*(1+((1-phimax_pore)/phimax_pore^2)*($A72/100))*($A72/100))</f>
        <v>0.0493518320566254</v>
      </c>
      <c r="R72" s="9" t="n">
        <f aca="false">R$5*(1+A_pore*R$6*($A72/100))/(1-R$6*(1+((1-phimax_pore)/phimax_pore^2)*($A72/100))*($A72/100))</f>
        <v>0.0503411158319482</v>
      </c>
      <c r="S72" s="9" t="n">
        <f aca="false">S$5*(1+A_pore*S$6*($A72/100))/(1-S$6*(1+((1-phimax_pore)/phimax_pore^2)*($A72/100))*($A72/100))</f>
        <v>0.0514066725117344</v>
      </c>
      <c r="T72" s="9" t="n">
        <f aca="false">T$5*(1+A_pore*T$6*($A72/100))/(1-T$6*(1+((1-phimax_pore)/phimax_pore^2)*($A72/100))*($A72/100))</f>
        <v>0.0525611976818885</v>
      </c>
      <c r="U72" s="9" t="n">
        <f aca="false">U$5*(1+A_pore*U$6*($A72/100))/(1-U$6*(1+((1-phimax_pore)/phimax_pore^2)*($A72/100))*($A72/100))</f>
        <v>0.0538200416752006</v>
      </c>
      <c r="V72" s="9" t="n">
        <f aca="false">V$5*(1+A_pore*V$6*($A72/100))/(1-V$6*(1+((1-phimax_pore)/phimax_pore^2)*($A72/100))*($A72/100))</f>
        <v>0.0552019833402965</v>
      </c>
      <c r="W72" s="9" t="n">
        <f aca="false">W$5*(1+A_pore*W$6*($A72/100))/(1-W$6*(1+((1-phimax_pore)/phimax_pore^2)*($A72/100))*($A72/100))</f>
        <v>0.0567302843908246</v>
      </c>
      <c r="X72" s="9" t="n">
        <f aca="false">X$5*(1+A_pore*X$6*($A72/100))/(1-X$6*(1+((1-phimax_pore)/phimax_pore^2)*($A72/100))*($A72/100))</f>
        <v>0.0584341518953724</v>
      </c>
      <c r="Y72" s="9" t="n">
        <f aca="false">Y$5*(1+A_pore*Y$6*($A72/100))/(1-Y$6*(1+((1-phimax_pore)/phimax_pore^2)*($A72/100))*($A72/100))</f>
        <v>0.0603508070963883</v>
      </c>
      <c r="Z72" s="9" t="n">
        <f aca="false">Z$5*(1+A_pore*Z$6*($A72/100))/(1-Z$6*(1+((1-phimax_pore)/phimax_pore^2)*($A72/100))*($A72/100))</f>
        <v>0.0625284766965377</v>
      </c>
      <c r="AA72" s="9" t="n">
        <f aca="false">AA$5*(1+A_pore*AA$6*($A72/100))/(1-AA$6*(1+((1-phimax_pore)/phimax_pore^2)*($A72/100))*($A72/100))</f>
        <v>0.0650308260728353</v>
      </c>
      <c r="AB72" s="9" t="n">
        <f aca="false">AB$5*(1+A_pore*AB$6*($A72/100))/(1-AB$6*(1+((1-phimax_pore)/phimax_pore^2)*($A72/100))*($A72/100))</f>
        <v>0.0679437172212641</v>
      </c>
      <c r="AC72" s="9" t="n">
        <f aca="false">AC$5*(1+A_pore*AC$6*($A72/100))/(1-AC$6*(1+((1-phimax_pore)/phimax_pore^2)*($A72/100))*($A72/100))</f>
        <v>0.0713858509290567</v>
      </c>
      <c r="AD72" s="9" t="n">
        <f aca="false">AD$5*(1+A_pore*AD$6*($A72/100))/(1-AD$6*(1+((1-phimax_pore)/phimax_pore^2)*($A72/100))*($A72/100))</f>
        <v>0.0755261747951351</v>
      </c>
      <c r="AE72" s="9" t="n">
        <f aca="false">AE$5*(1+A_pore*AE$6*($A72/100))/(1-AE$6*(1+((1-phimax_pore)/phimax_pore^2)*($A72/100))*($A72/100))</f>
        <v>0.0806136713510034</v>
      </c>
      <c r="AF72" s="9" t="n">
        <f aca="false">AF$5*(1+A_pore*AF$6*($A72/100))/(1-AF$6*(1+((1-phimax_pore)/phimax_pore^2)*($A72/100))*($A72/100))</f>
        <v>0.0870311805168</v>
      </c>
      <c r="AG72" s="9" t="n">
        <f aca="false">AG$5*(1+A_pore*AG$6*($A72/100))/(1-AG$6*(1+((1-phimax_pore)/phimax_pore^2)*($A72/100))*($A72/100))</f>
        <v>0.095399396722659</v>
      </c>
      <c r="AH72" s="9" t="n">
        <f aca="false">AH$5*(1+A_pore*AH$6*($A72/100))/(1-AH$6*(1+((1-phimax_pore)/phimax_pore^2)*($A72/100))*($A72/100))</f>
        <v>0.106795650365367</v>
      </c>
      <c r="AI72" s="9" t="n">
        <f aca="false">AI$5*(1+A_pore*AI$6*($A72/100))/(1-AI$6*(1+((1-phimax_pore)/phimax_pore^2)*($A72/100))*($A72/100))</f>
        <v>0.123268599874607</v>
      </c>
      <c r="AJ72" s="9" t="n">
        <f aca="false">AJ$5*(1+A_pore*AJ$6*($A72/100))/(1-AJ$6*(1+((1-phimax_pore)/phimax_pore^2)*($A72/100))*($A72/100))</f>
        <v>0.149251664800725</v>
      </c>
      <c r="AK72" s="9" t="n">
        <f aca="false">AK$5*(1+A_pore*AK$6*($A72/100))/(1-AK$6*(1+((1-phimax_pore)/phimax_pore^2)*($A72/100))*($A72/100))</f>
        <v>0.196457702105887</v>
      </c>
    </row>
    <row r="73" customFormat="false" ht="15" hidden="false" customHeight="false" outlineLevel="0" collapsed="false">
      <c r="A73" s="4" t="n">
        <v>64</v>
      </c>
      <c r="B73" s="9" t="n">
        <f aca="false">B$5*(1+A_pore*B$6*($A73/100))/(1-B$6*(1+((1-phimax_pore)/phimax_pore^2)*($A73/100))*($A73/100))</f>
        <v>0.0384228270383725</v>
      </c>
      <c r="C73" s="9" t="n">
        <f aca="false">C$5*(1+A_pore*C$6*($A73/100))/(1-C$6*(1+((1-phimax_pore)/phimax_pore^2)*($A73/100))*($A73/100))</f>
        <v>0.0389985583708601</v>
      </c>
      <c r="D73" s="9" t="n">
        <f aca="false">D$5*(1+A_pore*D$6*($A73/100))/(1-D$6*(1+((1-phimax_pore)/phimax_pore^2)*($A73/100))*($A73/100))</f>
        <v>0.0395717550142339</v>
      </c>
      <c r="E73" s="9" t="n">
        <f aca="false">E$5*(1+A_pore*E$6*($A73/100))/(1-E$6*(1+((1-phimax_pore)/phimax_pore^2)*($A73/100))*($A73/100))</f>
        <v>0.0401460348865627</v>
      </c>
      <c r="F73" s="9" t="n">
        <f aca="false">F$5*(1+A_pore*F$6*($A73/100))/(1-F$6*(1+((1-phimax_pore)/phimax_pore^2)*($A73/100))*($A73/100))</f>
        <v>0.040724824004512</v>
      </c>
      <c r="G73" s="9" t="n">
        <f aca="false">G$5*(1+A_pore*G$6*($A73/100))/(1-G$6*(1+((1-phimax_pore)/phimax_pore^2)*($A73/100))*($A73/100))</f>
        <v>0.0413114489619219</v>
      </c>
      <c r="H73" s="9" t="n">
        <f aca="false">H$5*(1+A_pore*H$6*($A73/100))/(1-H$6*(1+((1-phimax_pore)/phimax_pore^2)*($A73/100))*($A73/100))</f>
        <v>0.0419092194374165</v>
      </c>
      <c r="I73" s="9" t="n">
        <f aca="false">I$5*(1+A_pore*I$6*($A73/100))/(1-I$6*(1+((1-phimax_pore)/phimax_pore^2)*($A73/100))*($A73/100))</f>
        <v>0.0425215054790333</v>
      </c>
      <c r="J73" s="9" t="n">
        <f aca="false">J$5*(1+A_pore*J$6*($A73/100))/(1-J$6*(1+((1-phimax_pore)/phimax_pore^2)*($A73/100))*($A73/100))</f>
        <v>0.0431518136205604</v>
      </c>
      <c r="K73" s="9" t="n">
        <f aca="false">K$5*(1+A_pore*K$6*($A73/100))/(1-K$6*(1+((1-phimax_pore)/phimax_pore^2)*($A73/100))*($A73/100))</f>
        <v>0.0438038655802352</v>
      </c>
      <c r="L73" s="9" t="n">
        <f aca="false">L$5*(1+A_pore*L$6*($A73/100))/(1-L$6*(1+((1-phimax_pore)/phimax_pore^2)*($A73/100))*($A73/100))</f>
        <v>0.0444816833184131</v>
      </c>
      <c r="M73" s="9" t="n">
        <f aca="false">M$5*(1+A_pore*M$6*($A73/100))/(1-M$6*(1+((1-phimax_pore)/phimax_pore^2)*($A73/100))*($A73/100))</f>
        <v>0.045189684573773</v>
      </c>
      <c r="N73" s="9" t="n">
        <f aca="false">N$5*(1+A_pore*N$6*($A73/100))/(1-N$6*(1+((1-phimax_pore)/phimax_pore^2)*($A73/100))*($A73/100))</f>
        <v>0.0459327936862047</v>
      </c>
      <c r="O73" s="9" t="n">
        <f aca="false">O$5*(1+A_pore*O$6*($A73/100))/(1-O$6*(1+((1-phimax_pore)/phimax_pore^2)*($A73/100))*($A73/100))</f>
        <v>0.0467165736222252</v>
      </c>
      <c r="P73" s="9" t="n">
        <f aca="false">P$5*(1+A_pore*P$6*($A73/100))/(1-P$6*(1+((1-phimax_pore)/phimax_pore^2)*($A73/100))*($A73/100))</f>
        <v>0.04754738677563</v>
      </c>
      <c r="Q73" s="9" t="n">
        <f aca="false">Q$5*(1+A_pore*Q$6*($A73/100))/(1-Q$6*(1+((1-phimax_pore)/phimax_pore^2)*($A73/100))*($A73/100))</f>
        <v>0.0484325945313072</v>
      </c>
      <c r="R73" s="9" t="n">
        <f aca="false">R$5*(1+A_pore*R$6*($A73/100))/(1-R$6*(1+((1-phimax_pore)/phimax_pore^2)*($A73/100))*($A73/100))</f>
        <v>0.0493808090812447</v>
      </c>
      <c r="S73" s="9" t="n">
        <f aca="false">S$5*(1+A_pore*S$6*($A73/100))/(1-S$6*(1+((1-phimax_pore)/phimax_pore^2)*($A73/100))*($A73/100))</f>
        <v>0.0504022160804597</v>
      </c>
      <c r="T73" s="9" t="n">
        <f aca="false">T$5*(1+A_pore*T$6*($A73/100))/(1-T$6*(1+((1-phimax_pore)/phimax_pore^2)*($A73/100))*($A73/100))</f>
        <v>0.0515089942339639</v>
      </c>
      <c r="U73" s="9" t="n">
        <f aca="false">U$5*(1+A_pore*U$6*($A73/100))/(1-U$6*(1+((1-phimax_pore)/phimax_pore^2)*($A73/100))*($A73/100))</f>
        <v>0.0527158691068598</v>
      </c>
      <c r="V73" s="9" t="n">
        <f aca="false">V$5*(1+A_pore*V$6*($A73/100))/(1-V$6*(1+((1-phimax_pore)/phimax_pore^2)*($A73/100))*($A73/100))</f>
        <v>0.0540408554600623</v>
      </c>
      <c r="W73" s="9" t="n">
        <f aca="false">W$5*(1+A_pore*W$6*($A73/100))/(1-W$6*(1+((1-phimax_pore)/phimax_pore^2)*($A73/100))*($A73/100))</f>
        <v>0.0555062687615236</v>
      </c>
      <c r="X73" s="9" t="n">
        <f aca="false">X$5*(1+A_pore*X$6*($A73/100))/(1-X$6*(1+((1-phimax_pore)/phimax_pore^2)*($A73/100))*($A73/100))</f>
        <v>0.0571401282505072</v>
      </c>
      <c r="Y73" s="9" t="n">
        <f aca="false">Y$5*(1+A_pore*Y$6*($A73/100))/(1-Y$6*(1+((1-phimax_pore)/phimax_pore^2)*($A73/100))*($A73/100))</f>
        <v>0.0589781416900023</v>
      </c>
      <c r="Z73" s="9" t="n">
        <f aca="false">Z$5*(1+A_pore*Z$6*($A73/100))/(1-Z$6*(1+((1-phimax_pore)/phimax_pore^2)*($A73/100))*($A73/100))</f>
        <v>0.0610665750992957</v>
      </c>
      <c r="AA73" s="9" t="n">
        <f aca="false">AA$5*(1+A_pore*AA$6*($A73/100))/(1-AA$6*(1+((1-phimax_pore)/phimax_pore^2)*($A73/100))*($A73/100))</f>
        <v>0.0634665058182241</v>
      </c>
      <c r="AB73" s="9" t="n">
        <f aca="false">AB$5*(1+A_pore*AB$6*($A73/100))/(1-AB$6*(1+((1-phimax_pore)/phimax_pore^2)*($A73/100))*($A73/100))</f>
        <v>0.0662603058319029</v>
      </c>
      <c r="AC73" s="9" t="n">
        <f aca="false">AC$5*(1+A_pore*AC$6*($A73/100))/(1-AC$6*(1+((1-phimax_pore)/phimax_pore^2)*($A73/100))*($A73/100))</f>
        <v>0.069561851480547</v>
      </c>
      <c r="AD73" s="9" t="n">
        <f aca="false">AD$5*(1+A_pore*AD$6*($A73/100))/(1-AD$6*(1+((1-phimax_pore)/phimax_pore^2)*($A73/100))*($A73/100))</f>
        <v>0.0735332240756089</v>
      </c>
      <c r="AE73" s="9" t="n">
        <f aca="false">AE$5*(1+A_pore*AE$6*($A73/100))/(1-AE$6*(1+((1-phimax_pore)/phimax_pore^2)*($A73/100))*($A73/100))</f>
        <v>0.0784132875302261</v>
      </c>
      <c r="AF73" s="9" t="n">
        <f aca="false">AF$5*(1+A_pore*AF$6*($A73/100))/(1-AF$6*(1+((1-phimax_pore)/phimax_pore^2)*($A73/100))*($A73/100))</f>
        <v>0.0845693236496929</v>
      </c>
      <c r="AG73" s="9" t="n">
        <f aca="false">AG$5*(1+A_pore*AG$6*($A73/100))/(1-AG$6*(1+((1-phimax_pore)/phimax_pore^2)*($A73/100))*($A73/100))</f>
        <v>0.0925968031566931</v>
      </c>
      <c r="AH73" s="9" t="n">
        <f aca="false">AH$5*(1+A_pore*AH$6*($A73/100))/(1-AH$6*(1+((1-phimax_pore)/phimax_pore^2)*($A73/100))*($A73/100))</f>
        <v>0.103529276600708</v>
      </c>
      <c r="AI73" s="9" t="n">
        <f aca="false">AI$5*(1+A_pore*AI$6*($A73/100))/(1-AI$6*(1+((1-phimax_pore)/phimax_pore^2)*($A73/100))*($A73/100))</f>
        <v>0.119332151060705</v>
      </c>
      <c r="AJ73" s="9" t="n">
        <f aca="false">AJ$5*(1+A_pore*AJ$6*($A73/100))/(1-AJ$6*(1+((1-phimax_pore)/phimax_pore^2)*($A73/100))*($A73/100))</f>
        <v>0.144258686043945</v>
      </c>
      <c r="AK73" s="9" t="n">
        <f aca="false">AK$5*(1+A_pore*AK$6*($A73/100))/(1-AK$6*(1+((1-phimax_pore)/phimax_pore^2)*($A73/100))*($A73/100))</f>
        <v>0.189545766522581</v>
      </c>
    </row>
    <row r="74" customFormat="false" ht="15" hidden="false" customHeight="false" outlineLevel="0" collapsed="false">
      <c r="A74" s="4" t="n">
        <v>65</v>
      </c>
      <c r="B74" s="9" t="n">
        <f aca="false">B$5*(1+A_pore*B$6*($A74/100))/(1-B$6*(1+((1-phimax_pore)/phimax_pore^2)*($A74/100))*($A74/100))</f>
        <v>0.0379530599597658</v>
      </c>
      <c r="C74" s="9" t="n">
        <f aca="false">C$5*(1+A_pore*C$6*($A74/100))/(1-C$6*(1+((1-phimax_pore)/phimax_pore^2)*($A74/100))*($A74/100))</f>
        <v>0.0385039876961408</v>
      </c>
      <c r="D74" s="9" t="n">
        <f aca="false">D$5*(1+A_pore*D$6*($A74/100))/(1-D$6*(1+((1-phimax_pore)/phimax_pore^2)*($A74/100))*($A74/100))</f>
        <v>0.0390524780719962</v>
      </c>
      <c r="E74" s="9" t="n">
        <f aca="false">E$5*(1+A_pore*E$6*($A74/100))/(1-E$6*(1+((1-phimax_pore)/phimax_pore^2)*($A74/100))*($A74/100))</f>
        <v>0.0396020106873474</v>
      </c>
      <c r="F74" s="9" t="n">
        <f aca="false">F$5*(1+A_pore*F$6*($A74/100))/(1-F$6*(1+((1-phimax_pore)/phimax_pore^2)*($A74/100))*($A74/100))</f>
        <v>0.0401558778909225</v>
      </c>
      <c r="G74" s="9" t="n">
        <f aca="false">G$5*(1+A_pore*G$6*($A74/100))/(1-G$6*(1+((1-phimax_pore)/phimax_pore^2)*($A74/100))*($A74/100))</f>
        <v>0.0407172743507523</v>
      </c>
      <c r="H74" s="9" t="n">
        <f aca="false">H$5*(1+A_pore*H$6*($A74/100))/(1-H$6*(1+((1-phimax_pore)/phimax_pore^2)*($A74/100))*($A74/100))</f>
        <v>0.0412893768064442</v>
      </c>
      <c r="I74" s="9" t="n">
        <f aca="false">I$5*(1+A_pore*I$6*($A74/100))/(1-I$6*(1+((1-phimax_pore)/phimax_pore^2)*($A74/100))*($A74/100))</f>
        <v>0.0418754186336797</v>
      </c>
      <c r="J74" s="9" t="n">
        <f aca="false">J$5*(1+A_pore*J$6*($A74/100))/(1-J$6*(1+((1-phimax_pore)/phimax_pore^2)*($A74/100))*($A74/100))</f>
        <v>0.04247876316163</v>
      </c>
      <c r="K74" s="9" t="n">
        <f aca="false">K$5*(1+A_pore*K$6*($A74/100))/(1-K$6*(1+((1-phimax_pore)/phimax_pore^2)*($A74/100))*($A74/100))</f>
        <v>0.0431029793759112</v>
      </c>
      <c r="L74" s="9" t="n">
        <f aca="false">L$5*(1+A_pore*L$6*($A74/100))/(1-L$6*(1+((1-phimax_pore)/phimax_pore^2)*($A74/100))*($A74/100))</f>
        <v>0.0437519236534982</v>
      </c>
      <c r="M74" s="9" t="n">
        <f aca="false">M$5*(1+A_pore*M$6*($A74/100))/(1-M$6*(1+((1-phimax_pore)/phimax_pore^2)*($A74/100))*($A74/100))</f>
        <v>0.0444298314973266</v>
      </c>
      <c r="N74" s="9" t="n">
        <f aca="false">N$5*(1+A_pore*N$6*($A74/100))/(1-N$6*(1+((1-phimax_pore)/phimax_pore^2)*($A74/100))*($A74/100))</f>
        <v>0.0451414238933605</v>
      </c>
      <c r="O74" s="9" t="n">
        <f aca="false">O$5*(1+A_pore*O$6*($A74/100))/(1-O$6*(1+((1-phimax_pore)/phimax_pore^2)*($A74/100))*($A74/100))</f>
        <v>0.0458920339713931</v>
      </c>
      <c r="P74" s="9" t="n">
        <f aca="false">P$5*(1+A_pore*P$6*($A74/100))/(1-P$6*(1+((1-phimax_pore)/phimax_pore^2)*($A74/100))*($A74/100))</f>
        <v>0.0466877612369396</v>
      </c>
      <c r="Q74" s="9" t="n">
        <f aca="false">Q$5*(1+A_pore*Q$6*($A74/100))/(1-Q$6*(1+((1-phimax_pore)/phimax_pore^2)*($A74/100))*($A74/100))</f>
        <v>0.047535662955529</v>
      </c>
      <c r="R74" s="9" t="n">
        <f aca="false">R$5*(1+A_pore*R$6*($A74/100))/(1-R$6*(1+((1-phimax_pore)/phimax_pore^2)*($A74/100))*($A74/100))</f>
        <v>0.0484439956263157</v>
      </c>
      <c r="S74" s="9" t="n">
        <f aca="false">S$5*(1+A_pore*S$6*($A74/100))/(1-S$6*(1+((1-phimax_pore)/phimax_pore^2)*($A74/100))*($A74/100))</f>
        <v>0.0494225243696832</v>
      </c>
      <c r="T74" s="9" t="n">
        <f aca="false">T$5*(1+A_pore*T$6*($A74/100))/(1-T$6*(1+((1-phimax_pore)/phimax_pore^2)*($A74/100))*($A74/100))</f>
        <v>0.0504829252471477</v>
      </c>
      <c r="U74" s="9" t="n">
        <f aca="false">U$5*(1+A_pore*U$6*($A74/100))/(1-U$6*(1+((1-phimax_pore)/phimax_pore^2)*($A74/100))*($A74/100))</f>
        <v>0.0516393162709755</v>
      </c>
      <c r="V74" s="9" t="n">
        <f aca="false">V$5*(1+A_pore*V$6*($A74/100))/(1-V$6*(1+((1-phimax_pore)/phimax_pore^2)*($A74/100))*($A74/100))</f>
        <v>0.0529089691702703</v>
      </c>
      <c r="W74" s="9" t="n">
        <f aca="false">W$5*(1+A_pore*W$6*($A74/100))/(1-W$6*(1+((1-phimax_pore)/phimax_pore^2)*($A74/100))*($A74/100))</f>
        <v>0.0543132792421045</v>
      </c>
      <c r="X74" s="9" t="n">
        <f aca="false">X$5*(1+A_pore*X$6*($A74/100))/(1-X$6*(1+((1-phimax_pore)/phimax_pore^2)*($A74/100))*($A74/100))</f>
        <v>0.055879110624893</v>
      </c>
      <c r="Y74" s="9" t="n">
        <f aca="false">Y$5*(1+A_pore*Y$6*($A74/100))/(1-Y$6*(1+((1-phimax_pore)/phimax_pore^2)*($A74/100))*($A74/100))</f>
        <v>0.0576406992975333</v>
      </c>
      <c r="Z74" s="9" t="n">
        <f aca="false">Z$5*(1+A_pore*Z$6*($A74/100))/(1-Z$6*(1+((1-phimax_pore)/phimax_pore^2)*($A74/100))*($A74/100))</f>
        <v>0.0596424046034984</v>
      </c>
      <c r="AA74" s="9" t="n">
        <f aca="false">AA$5*(1+A_pore*AA$6*($A74/100))/(1-AA$6*(1+((1-phimax_pore)/phimax_pore^2)*($A74/100))*($A74/100))</f>
        <v>0.0619427871235972</v>
      </c>
      <c r="AB74" s="9" t="n">
        <f aca="false">AB$5*(1+A_pore*AB$6*($A74/100))/(1-AB$6*(1+((1-phimax_pore)/phimax_pore^2)*($A74/100))*($A74/100))</f>
        <v>0.0646208249397467</v>
      </c>
      <c r="AC74" s="9" t="n">
        <f aca="false">AC$5*(1+A_pore*AC$6*($A74/100))/(1-AC$6*(1+((1-phimax_pore)/phimax_pore^2)*($A74/100))*($A74/100))</f>
        <v>0.0677857027862129</v>
      </c>
      <c r="AD74" s="9" t="n">
        <f aca="false">AD$5*(1+A_pore*AD$6*($A74/100))/(1-AD$6*(1+((1-phimax_pore)/phimax_pore^2)*($A74/100))*($A74/100))</f>
        <v>0.0715928247335963</v>
      </c>
      <c r="AE74" s="9" t="n">
        <f aca="false">AE$5*(1+A_pore*AE$6*($A74/100))/(1-AE$6*(1+((1-phimax_pore)/phimax_pore^2)*($A74/100))*($A74/100))</f>
        <v>0.076271214649254</v>
      </c>
      <c r="AF74" s="9" t="n">
        <f aca="false">AF$5*(1+A_pore*AF$6*($A74/100))/(1-AF$6*(1+((1-phimax_pore)/phimax_pore^2)*($A74/100))*($A74/100))</f>
        <v>0.0821730245271315</v>
      </c>
      <c r="AG74" s="9" t="n">
        <f aca="false">AG$5*(1+A_pore*AG$6*($A74/100))/(1-AG$6*(1+((1-phimax_pore)/phimax_pore^2)*($A74/100))*($A74/100))</f>
        <v>0.0898691957465159</v>
      </c>
      <c r="AH74" s="9" t="n">
        <f aca="false">AH$5*(1+A_pore*AH$6*($A74/100))/(1-AH$6*(1+((1-phimax_pore)/phimax_pore^2)*($A74/100))*($A74/100))</f>
        <v>0.100350704159998</v>
      </c>
      <c r="AI74" s="9" t="n">
        <f aca="false">AI$5*(1+A_pore*AI$6*($A74/100))/(1-AI$6*(1+((1-phimax_pore)/phimax_pore^2)*($A74/100))*($A74/100))</f>
        <v>0.115501997159817</v>
      </c>
      <c r="AJ74" s="9" t="n">
        <f aca="false">AJ$5*(1+A_pore*AJ$6*($A74/100))/(1-AJ$6*(1+((1-phimax_pore)/phimax_pore^2)*($A74/100))*($A74/100))</f>
        <v>0.139401133433795</v>
      </c>
      <c r="AK74" s="9" t="n">
        <f aca="false">AK$5*(1+A_pore*AK$6*($A74/100))/(1-AK$6*(1+((1-phimax_pore)/phimax_pore^2)*($A74/100))*($A74/100))</f>
        <v>0.182822127862358</v>
      </c>
    </row>
    <row r="75" customFormat="false" ht="15" hidden="false" customHeight="false" outlineLevel="0" collapsed="false">
      <c r="A75" s="4" t="n">
        <v>66</v>
      </c>
      <c r="B75" s="9" t="n">
        <f aca="false">B$5*(1+A_pore*B$6*($A75/100))/(1-B$6*(1+((1-phimax_pore)/phimax_pore^2)*($A75/100))*($A75/100))</f>
        <v>0.0374923446494131</v>
      </c>
      <c r="C75" s="9" t="n">
        <f aca="false">C$5*(1+A_pore*C$6*($A75/100))/(1-C$6*(1+((1-phimax_pore)/phimax_pore^2)*($A75/100))*($A75/100))</f>
        <v>0.0380191903526864</v>
      </c>
      <c r="D75" s="9" t="n">
        <f aca="false">D$5*(1+A_pore*D$6*($A75/100))/(1-D$6*(1+((1-phimax_pore)/phimax_pore^2)*($A75/100))*($A75/100))</f>
        <v>0.0385436976404313</v>
      </c>
      <c r="E75" s="9" t="n">
        <f aca="false">E$5*(1+A_pore*E$6*($A75/100))/(1-E$6*(1+((1-phimax_pore)/phimax_pore^2)*($A75/100))*($A75/100))</f>
        <v>0.0390692102843489</v>
      </c>
      <c r="F75" s="9" t="n">
        <f aca="false">F$5*(1+A_pore*F$6*($A75/100))/(1-F$6*(1+((1-phimax_pore)/phimax_pore^2)*($A75/100))*($A75/100))</f>
        <v>0.0395988896339197</v>
      </c>
      <c r="G75" s="9" t="n">
        <f aca="false">G$5*(1+A_pore*G$6*($A75/100))/(1-G$6*(1+((1-phimax_pore)/phimax_pore^2)*($A75/100))*($A75/100))</f>
        <v>0.0401358012833062</v>
      </c>
      <c r="H75" s="9" t="n">
        <f aca="false">H$5*(1+A_pore*H$6*($A75/100))/(1-H$6*(1+((1-phimax_pore)/phimax_pore^2)*($A75/100))*($A75/100))</f>
        <v>0.0406829920879191</v>
      </c>
      <c r="I75" s="9" t="n">
        <f aca="false">I$5*(1+A_pore*I$6*($A75/100))/(1-I$6*(1+((1-phimax_pore)/phimax_pore^2)*($A75/100))*($A75/100))</f>
        <v>0.0412435620414924</v>
      </c>
      <c r="J75" s="9" t="n">
        <f aca="false">J$5*(1+A_pore*J$6*($A75/100))/(1-J$6*(1+((1-phimax_pore)/phimax_pore^2)*($A75/100))*($A75/100))</f>
        <v>0.0418207348396471</v>
      </c>
      <c r="K75" s="9" t="n">
        <f aca="false">K$5*(1+A_pore*K$6*($A75/100))/(1-K$6*(1+((1-phimax_pore)/phimax_pore^2)*($A75/100))*($A75/100))</f>
        <v>0.0424179306450284</v>
      </c>
      <c r="L75" s="9" t="n">
        <f aca="false">L$5*(1+A_pore*L$6*($A75/100))/(1-L$6*(1+((1-phimax_pore)/phimax_pore^2)*($A75/100))*($A75/100))</f>
        <v>0.04303884457184</v>
      </c>
      <c r="M75" s="9" t="n">
        <f aca="false">M$5*(1+A_pore*M$6*($A75/100))/(1-M$6*(1+((1-phimax_pore)/phimax_pore^2)*($A75/100))*($A75/100))</f>
        <v>0.0436875347083819</v>
      </c>
      <c r="N75" s="9" t="n">
        <f aca="false">N$5*(1+A_pore*N$6*($A75/100))/(1-N$6*(1+((1-phimax_pore)/phimax_pore^2)*($A75/100))*($A75/100))</f>
        <v>0.0443685241190123</v>
      </c>
      <c r="O75" s="9" t="n">
        <f aca="false">O$5*(1+A_pore*O$6*($A75/100))/(1-O$6*(1+((1-phimax_pore)/phimax_pore^2)*($A75/100))*($A75/100))</f>
        <v>0.0450869222778314</v>
      </c>
      <c r="P75" s="9" t="n">
        <f aca="false">P$5*(1+A_pore*P$6*($A75/100))/(1-P$6*(1+((1-phimax_pore)/phimax_pore^2)*($A75/100))*($A75/100))</f>
        <v>0.0458485729038289</v>
      </c>
      <c r="Q75" s="9" t="n">
        <f aca="false">Q$5*(1+A_pore*Q$6*($A75/100))/(1-Q$6*(1+((1-phimax_pore)/phimax_pore^2)*($A75/100))*($A75/100))</f>
        <v>0.0466602373828072</v>
      </c>
      <c r="R75" s="9" t="n">
        <f aca="false">R$5*(1+A_pore*R$6*($A75/100))/(1-R$6*(1+((1-phimax_pore)/phimax_pore^2)*($A75/100))*($A75/100))</f>
        <v>0.047529826175565</v>
      </c>
      <c r="S75" s="9" t="n">
        <f aca="false">S$5*(1+A_pore*S$6*($A75/100))/(1-S$6*(1+((1-phimax_pore)/phimax_pore^2)*($A75/100))*($A75/100))</f>
        <v>0.0484666952944409</v>
      </c>
      <c r="T75" s="9" t="n">
        <f aca="false">T$5*(1+A_pore*T$6*($A75/100))/(1-T$6*(1+((1-phimax_pore)/phimax_pore^2)*($A75/100))*($A75/100))</f>
        <v>0.0494820318226725</v>
      </c>
      <c r="U75" s="9" t="n">
        <f aca="false">U$5*(1+A_pore*U$6*($A75/100))/(1-U$6*(1+((1-phimax_pore)/phimax_pore^2)*($A75/100))*($A75/100))</f>
        <v>0.0505893627408387</v>
      </c>
      <c r="V75" s="9" t="n">
        <f aca="false">V$5*(1+A_pore*V$6*($A75/100))/(1-V$6*(1+((1-phimax_pore)/phimax_pore^2)*($A75/100))*($A75/100))</f>
        <v>0.0518052369520158</v>
      </c>
      <c r="W75" s="9" t="n">
        <f aca="false">W$5*(1+A_pore*W$6*($A75/100))/(1-W$6*(1+((1-phimax_pore)/phimax_pore^2)*($A75/100))*($A75/100))</f>
        <v>0.0531501546030337</v>
      </c>
      <c r="X75" s="9" t="n">
        <f aca="false">X$5*(1+A_pore*X$6*($A75/100))/(1-X$6*(1+((1-phimax_pore)/phimax_pore^2)*($A75/100))*($A75/100))</f>
        <v>0.0546498561355027</v>
      </c>
      <c r="Y75" s="9" t="n">
        <f aca="false">Y$5*(1+A_pore*Y$6*($A75/100))/(1-Y$6*(1+((1-phimax_pore)/phimax_pore^2)*($A75/100))*($A75/100))</f>
        <v>0.0563371457512105</v>
      </c>
      <c r="Z75" s="9" t="n">
        <f aca="false">Z$5*(1+A_pore*Z$6*($A75/100))/(1-Z$6*(1+((1-phimax_pore)/phimax_pore^2)*($A75/100))*($A75/100))</f>
        <v>0.0582545279374837</v>
      </c>
      <c r="AA75" s="9" t="n">
        <f aca="false">AA$5*(1+A_pore*AA$6*($A75/100))/(1-AA$6*(1+((1-phimax_pore)/phimax_pore^2)*($A75/100))*($A75/100))</f>
        <v>0.0604581149058905</v>
      </c>
      <c r="AB75" s="9" t="n">
        <f aca="false">AB$5*(1+A_pore*AB$6*($A75/100))/(1-AB$6*(1+((1-phimax_pore)/phimax_pore^2)*($A75/100))*($A75/100))</f>
        <v>0.0630235830476048</v>
      </c>
      <c r="AC75" s="9" t="n">
        <f aca="false">AC$5*(1+A_pore*AC$6*($A75/100))/(1-AC$6*(1+((1-phimax_pore)/phimax_pore^2)*($A75/100))*($A75/100))</f>
        <v>0.0660555529474188</v>
      </c>
      <c r="AD75" s="9" t="n">
        <f aca="false">AD$5*(1+A_pore*AD$6*($A75/100))/(1-AD$6*(1+((1-phimax_pore)/phimax_pore^2)*($A75/100))*($A75/100))</f>
        <v>0.0697029328183852</v>
      </c>
      <c r="AE75" s="9" t="n">
        <f aca="false">AE$5*(1+A_pore*AE$6*($A75/100))/(1-AE$6*(1+((1-phimax_pore)/phimax_pore^2)*($A75/100))*($A75/100))</f>
        <v>0.0741851737619024</v>
      </c>
      <c r="AF75" s="9" t="n">
        <f aca="false">AF$5*(1+A_pore*AF$6*($A75/100))/(1-AF$6*(1+((1-phimax_pore)/phimax_pore^2)*($A75/100))*($A75/100))</f>
        <v>0.0798397089012573</v>
      </c>
      <c r="AG75" s="9" t="n">
        <f aca="false">AG$5*(1+A_pore*AG$6*($A75/100))/(1-AG$6*(1+((1-phimax_pore)/phimax_pore^2)*($A75/100))*($A75/100))</f>
        <v>0.0872136164877488</v>
      </c>
      <c r="AH75" s="9" t="n">
        <f aca="false">AH$5*(1+A_pore*AH$6*($A75/100))/(1-AH$6*(1+((1-phimax_pore)/phimax_pore^2)*($A75/100))*($A75/100))</f>
        <v>0.0972564539722287</v>
      </c>
      <c r="AI75" s="9" t="n">
        <f aca="false">AI$5*(1+A_pore*AI$6*($A75/100))/(1-AI$6*(1+((1-phimax_pore)/phimax_pore^2)*($A75/100))*($A75/100))</f>
        <v>0.111773907823272</v>
      </c>
      <c r="AJ75" s="9" t="n">
        <f aca="false">AJ$5*(1+A_pore*AJ$6*($A75/100))/(1-AJ$6*(1+((1-phimax_pore)/phimax_pore^2)*($A75/100))*($A75/100))</f>
        <v>0.134673594093262</v>
      </c>
      <c r="AK75" s="9" t="n">
        <f aca="false">AK$5*(1+A_pore*AK$6*($A75/100))/(1-AK$6*(1+((1-phimax_pore)/phimax_pore^2)*($A75/100))*($A75/100))</f>
        <v>0.176279228338463</v>
      </c>
    </row>
    <row r="76" customFormat="false" ht="15" hidden="false" customHeight="false" outlineLevel="0" collapsed="false">
      <c r="A76" s="4" t="n">
        <v>67</v>
      </c>
      <c r="B76" s="9" t="n">
        <f aca="false">B$5*(1+A_pore*B$6*($A76/100))/(1-B$6*(1+((1-phimax_pore)/phimax_pore^2)*($A76/100))*($A76/100))</f>
        <v>0.037040422528291</v>
      </c>
      <c r="C76" s="9" t="n">
        <f aca="false">C$5*(1+A_pore*C$6*($A76/100))/(1-C$6*(1+((1-phimax_pore)/phimax_pore^2)*($A76/100))*($A76/100))</f>
        <v>0.0375438800907389</v>
      </c>
      <c r="D76" s="9" t="n">
        <f aca="false">D$5*(1+A_pore*D$6*($A76/100))/(1-D$6*(1+((1-phimax_pore)/phimax_pore^2)*($A76/100))*($A76/100))</f>
        <v>0.0380450993318163</v>
      </c>
      <c r="E76" s="9" t="n">
        <f aca="false">E$5*(1+A_pore*E$6*($A76/100))/(1-E$6*(1+((1-phimax_pore)/phimax_pore^2)*($A76/100))*($A76/100))</f>
        <v>0.0385472906501214</v>
      </c>
      <c r="F76" s="9" t="n">
        <f aca="false">F$5*(1+A_pore*F$6*($A76/100))/(1-F$6*(1+((1-phimax_pore)/phimax_pore^2)*($A76/100))*($A76/100))</f>
        <v>0.0390534870119343</v>
      </c>
      <c r="G76" s="9" t="n">
        <f aca="false">G$5*(1+A_pore*G$6*($A76/100))/(1-G$6*(1+((1-phimax_pore)/phimax_pore^2)*($A76/100))*($A76/100))</f>
        <v>0.0395666277204461</v>
      </c>
      <c r="H76" s="9" t="n">
        <f aca="false">H$5*(1+A_pore*H$6*($A76/100))/(1-H$6*(1+((1-phimax_pore)/phimax_pore^2)*($A76/100))*($A76/100))</f>
        <v>0.0400896327170327</v>
      </c>
      <c r="I76" s="9" t="n">
        <f aca="false">I$5*(1+A_pore*I$6*($A76/100))/(1-I$6*(1+((1-phimax_pore)/phimax_pore^2)*($A76/100))*($A76/100))</f>
        <v>0.040625471803605</v>
      </c>
      <c r="J76" s="9" t="n">
        <f aca="false">J$5*(1+A_pore*J$6*($A76/100))/(1-J$6*(1+((1-phimax_pore)/phimax_pore^2)*($A76/100))*($A76/100))</f>
        <v>0.0411772324966554</v>
      </c>
      <c r="K76" s="9" t="n">
        <f aca="false">K$5*(1+A_pore*K$6*($A76/100))/(1-K$6*(1+((1-phimax_pore)/phimax_pore^2)*($A76/100))*($A76/100))</f>
        <v>0.041748189911061</v>
      </c>
      <c r="L76" s="9" t="n">
        <f aca="false">L$5*(1+A_pore*L$6*($A76/100))/(1-L$6*(1+((1-phimax_pore)/phimax_pore^2)*($A76/100))*($A76/100))</f>
        <v>0.0423418820644368</v>
      </c>
      <c r="M76" s="9" t="n">
        <f aca="false">M$5*(1+A_pore*M$6*($A76/100))/(1-M$6*(1+((1-phimax_pore)/phimax_pore^2)*($A76/100))*($A76/100))</f>
        <v>0.0429621942741589</v>
      </c>
      <c r="N76" s="9" t="n">
        <f aca="false">N$5*(1+A_pore*N$6*($A76/100))/(1-N$6*(1+((1-phimax_pore)/phimax_pore^2)*($A76/100))*($A76/100))</f>
        <v>0.0436134569109899</v>
      </c>
      <c r="O76" s="9" t="n">
        <f aca="false">O$5*(1+A_pore*O$6*($A76/100))/(1-O$6*(1+((1-phimax_pore)/phimax_pore^2)*($A76/100))*($A76/100))</f>
        <v>0.0443005617380443</v>
      </c>
      <c r="P76" s="9" t="n">
        <f aca="false">P$5*(1+A_pore*P$6*($A76/100))/(1-P$6*(1+((1-phimax_pore)/phimax_pore^2)*($A76/100))*($A76/100))</f>
        <v>0.0450291035146551</v>
      </c>
      <c r="Q76" s="9" t="n">
        <f aca="false">Q$5*(1+A_pore*Q$6*($A76/100))/(1-Q$6*(1+((1-phimax_pore)/phimax_pore^2)*($A76/100))*($A76/100))</f>
        <v>0.0458055556646683</v>
      </c>
      <c r="R76" s="9" t="n">
        <f aca="false">R$5*(1+A_pore*R$6*($A76/100))/(1-R$6*(1+((1-phimax_pore)/phimax_pore^2)*($A76/100))*($A76/100))</f>
        <v>0.0466374918853144</v>
      </c>
      <c r="S76" s="9" t="n">
        <f aca="false">S$5*(1+A_pore*S$6*($A76/100))/(1-S$6*(1+((1-phimax_pore)/phimax_pore^2)*($A76/100))*($A76/100))</f>
        <v>0.0475338700558567</v>
      </c>
      <c r="T76" s="9" t="n">
        <f aca="false">T$5*(1+A_pore*T$6*($A76/100))/(1-T$6*(1+((1-phimax_pore)/phimax_pore^2)*($A76/100))*($A76/100))</f>
        <v>0.0485054014044184</v>
      </c>
      <c r="U76" s="9" t="n">
        <f aca="false">U$5*(1+A_pore*U$6*($A76/100))/(1-U$6*(1+((1-phimax_pore)/phimax_pore^2)*($A76/100))*($A76/100))</f>
        <v>0.0495650377439959</v>
      </c>
      <c r="V76" s="9" t="n">
        <f aca="false">V$5*(1+A_pore*V$6*($A76/100))/(1-V$6*(1+((1-phimax_pore)/phimax_pore^2)*($A76/100))*($A76/100))</f>
        <v>0.050728624552349</v>
      </c>
      <c r="W76" s="9" t="n">
        <f aca="false">W$5*(1+A_pore*W$6*($A76/100))/(1-W$6*(1+((1-phimax_pore)/phimax_pore^2)*($A76/100))*($A76/100))</f>
        <v>0.0520157908484861</v>
      </c>
      <c r="X76" s="9" t="n">
        <f aca="false">X$5*(1+A_pore*X$6*($A76/100))/(1-X$6*(1+((1-phimax_pore)/phimax_pore^2)*($A76/100))*($A76/100))</f>
        <v>0.053451183527236</v>
      </c>
      <c r="Y76" s="9" t="n">
        <f aca="false">Y$5*(1+A_pore*Y$6*($A76/100))/(1-Y$6*(1+((1-phimax_pore)/phimax_pore^2)*($A76/100))*($A76/100))</f>
        <v>0.0550662134217202</v>
      </c>
      <c r="Z76" s="9" t="n">
        <f aca="false">Z$5*(1+A_pore*Z$6*($A76/100))/(1-Z$6*(1+((1-phimax_pore)/phimax_pore^2)*($A76/100))*($A76/100))</f>
        <v>0.0569015799114028</v>
      </c>
      <c r="AA76" s="9" t="n">
        <f aca="false">AA$5*(1+A_pore*AA$6*($A76/100))/(1-AA$6*(1+((1-phimax_pore)/phimax_pore^2)*($A76/100))*($A76/100))</f>
        <v>0.0590110124939289</v>
      </c>
      <c r="AB76" s="9" t="n">
        <f aca="false">AB$5*(1+A_pore*AB$6*($A76/100))/(1-AB$6*(1+((1-phimax_pore)/phimax_pore^2)*($A76/100))*($A76/100))</f>
        <v>0.0614669743945783</v>
      </c>
      <c r="AC76" s="9" t="n">
        <f aca="false">AC$5*(1+A_pore*AC$6*($A76/100))/(1-AC$6*(1+((1-phimax_pore)/phimax_pore^2)*($A76/100))*($A76/100))</f>
        <v>0.0643696444076061</v>
      </c>
      <c r="AD76" s="9" t="n">
        <f aca="false">AD$5*(1+A_pore*AD$6*($A76/100))/(1-AD$6*(1+((1-phimax_pore)/phimax_pore^2)*($A76/100))*($A76/100))</f>
        <v>0.0678616090171012</v>
      </c>
      <c r="AE76" s="9" t="n">
        <f aca="false">AE$5*(1+A_pore*AE$6*($A76/100))/(1-AE$6*(1+((1-phimax_pore)/phimax_pore^2)*($A76/100))*($A76/100))</f>
        <v>0.0721530031477254</v>
      </c>
      <c r="AF76" s="9" t="n">
        <f aca="false">AF$5*(1+A_pore*AF$6*($A76/100))/(1-AF$6*(1+((1-phimax_pore)/phimax_pore^2)*($A76/100))*($A76/100))</f>
        <v>0.0775669355558783</v>
      </c>
      <c r="AG76" s="9" t="n">
        <f aca="false">AG$5*(1+A_pore*AG$6*($A76/100))/(1-AG$6*(1+((1-phimax_pore)/phimax_pore^2)*($A76/100))*($A76/100))</f>
        <v>0.0846272609327273</v>
      </c>
      <c r="AH76" s="9" t="n">
        <f aca="false">AH$5*(1+A_pore*AH$6*($A76/100))/(1-AH$6*(1+((1-phimax_pore)/phimax_pore^2)*($A76/100))*($A76/100))</f>
        <v>0.0942432283726397</v>
      </c>
      <c r="AI76" s="9" t="n">
        <f aca="false">AI$5*(1+A_pore*AI$6*($A76/100))/(1-AI$6*(1+((1-phimax_pore)/phimax_pore^2)*($A76/100))*($A76/100))</f>
        <v>0.108143874236938</v>
      </c>
      <c r="AJ76" s="9" t="n">
        <f aca="false">AJ$5*(1+A_pore*AJ$6*($A76/100))/(1-AJ$6*(1+((1-phimax_pore)/phimax_pore^2)*($A76/100))*($A76/100))</f>
        <v>0.130070939808107</v>
      </c>
      <c r="AK76" s="9" t="n">
        <f aca="false">AK$5*(1+A_pore*AK$6*($A76/100))/(1-AK$6*(1+((1-phimax_pore)/phimax_pore^2)*($A76/100))*($A76/100))</f>
        <v>0.169909909279605</v>
      </c>
    </row>
    <row r="77" customFormat="false" ht="15" hidden="false" customHeight="false" outlineLevel="0" collapsed="false">
      <c r="A77" s="4" t="n">
        <v>68</v>
      </c>
      <c r="B77" s="9" t="n">
        <f aca="false">B$5*(1+A_pore*B$6*($A77/100))/(1-B$6*(1+((1-phimax_pore)/phimax_pore^2)*($A77/100))*($A77/100))</f>
        <v>0.036597044773253</v>
      </c>
      <c r="C77" s="9" t="n">
        <f aca="false">C$5*(1+A_pore*C$6*($A77/100))/(1-C$6*(1+((1-phimax_pore)/phimax_pore^2)*($A77/100))*($A77/100))</f>
        <v>0.0370777817307878</v>
      </c>
      <c r="D77" s="9" t="n">
        <f aca="false">D$5*(1+A_pore*D$6*($A77/100))/(1-D$6*(1+((1-phimax_pore)/phimax_pore^2)*($A77/100))*($A77/100))</f>
        <v>0.0375563811892814</v>
      </c>
      <c r="E77" s="9" t="n">
        <f aca="false">E$5*(1+A_pore*E$6*($A77/100))/(1-E$6*(1+((1-phimax_pore)/phimax_pore^2)*($A77/100))*($A77/100))</f>
        <v>0.038035922594322</v>
      </c>
      <c r="F77" s="9" t="n">
        <f aca="false">F$5*(1+A_pore*F$6*($A77/100))/(1-F$6*(1+((1-phimax_pore)/phimax_pore^2)*($A77/100))*($A77/100))</f>
        <v>0.0385193130929901</v>
      </c>
      <c r="G77" s="9" t="n">
        <f aca="false">G$5*(1+A_pore*G$6*($A77/100))/(1-G$6*(1+((1-phimax_pore)/phimax_pore^2)*($A77/100))*($A77/100))</f>
        <v>0.0390093684130512</v>
      </c>
      <c r="H77" s="9" t="n">
        <f aca="false">H$5*(1+A_pore*H$6*($A77/100))/(1-H$6*(1+((1-phimax_pore)/phimax_pore^2)*($A77/100))*($A77/100))</f>
        <v>0.0395088844700822</v>
      </c>
      <c r="I77" s="9" t="n">
        <f aca="false">I$5*(1+A_pore*I$6*($A77/100))/(1-I$6*(1+((1-phimax_pore)/phimax_pore^2)*($A77/100))*($A77/100))</f>
        <v>0.0400207039677695</v>
      </c>
      <c r="J77" s="9" t="n">
        <f aca="false">J$5*(1+A_pore*J$6*($A77/100))/(1-J$6*(1+((1-phimax_pore)/phimax_pore^2)*($A77/100))*($A77/100))</f>
        <v>0.0405477815860531</v>
      </c>
      <c r="K77" s="9" t="n">
        <f aca="false">K$5*(1+A_pore*K$6*($A77/100))/(1-K$6*(1+((1-phimax_pore)/phimax_pore^2)*($A77/100))*($A77/100))</f>
        <v>0.0410932510386983</v>
      </c>
      <c r="L77" s="9" t="n">
        <f aca="false">L$5*(1+A_pore*L$6*($A77/100))/(1-L$6*(1+((1-phimax_pore)/phimax_pore^2)*($A77/100))*($A77/100))</f>
        <v>0.0416604972655839</v>
      </c>
      <c r="M77" s="9" t="n">
        <f aca="false">M$5*(1+A_pore*M$6*($A77/100))/(1-M$6*(1+((1-phimax_pore)/phimax_pore^2)*($A77/100))*($A77/100))</f>
        <v>0.0422532372879106</v>
      </c>
      <c r="N77" s="9" t="n">
        <f aca="false">N$5*(1+A_pore*N$6*($A77/100))/(1-N$6*(1+((1-phimax_pore)/phimax_pore^2)*($A77/100))*($A77/100))</f>
        <v>0.0428756138165077</v>
      </c>
      <c r="O77" s="9" t="n">
        <f aca="false">O$5*(1+A_pore*O$6*($A77/100))/(1-O$6*(1+((1-phimax_pore)/phimax_pore^2)*($A77/100))*($A77/100))</f>
        <v>0.0435323066236334</v>
      </c>
      <c r="P77" s="9" t="n">
        <f aca="false">P$5*(1+A_pore*P$6*($A77/100))/(1-P$6*(1+((1-phimax_pore)/phimax_pore^2)*($A77/100))*($A77/100))</f>
        <v>0.0442286680748078</v>
      </c>
      <c r="Q77" s="9" t="n">
        <f aca="false">Q$5*(1+A_pore*Q$6*($A77/100))/(1-Q$6*(1+((1-phimax_pore)/phimax_pore^2)*($A77/100))*($A77/100))</f>
        <v>0.0449708912442366</v>
      </c>
      <c r="R77" s="9" t="n">
        <f aca="false">R$5*(1+A_pore*R$6*($A77/100))/(1-R$6*(1+((1-phimax_pore)/phimax_pore^2)*($A77/100))*($A77/100))</f>
        <v>0.0457662219801984</v>
      </c>
      <c r="S77" s="9" t="n">
        <f aca="false">S$5*(1+A_pore*S$6*($A77/100))/(1-S$6*(1+((1-phimax_pore)/phimax_pore^2)*($A77/100))*($A77/100))</f>
        <v>0.0466232305755932</v>
      </c>
      <c r="T77" s="9" t="n">
        <f aca="false">T$5*(1+A_pore*T$6*($A77/100))/(1-T$6*(1+((1-phimax_pore)/phimax_pore^2)*($A77/100))*($A77/100))</f>
        <v>0.0475521650127163</v>
      </c>
      <c r="U77" s="9" t="n">
        <f aca="false">U$5*(1+A_pore*U$6*($A77/100))/(1-U$6*(1+((1-phimax_pore)/phimax_pore^2)*($A77/100))*($A77/100))</f>
        <v>0.0485654171783117</v>
      </c>
      <c r="V77" s="9" t="n">
        <f aca="false">V$5*(1+A_pore*V$6*($A77/100))/(1-V$6*(1+((1-phimax_pore)/phimax_pore^2)*($A77/100))*($A77/100))</f>
        <v>0.0496781477625613</v>
      </c>
      <c r="W77" s="9" t="n">
        <f aca="false">W$5*(1+A_pore*W$6*($A77/100))/(1-W$6*(1+((1-phimax_pore)/phimax_pore^2)*($A77/100))*($A77/100))</f>
        <v>0.0509091377331569</v>
      </c>
      <c r="X77" s="9" t="n">
        <f aca="false">X$5*(1+A_pore*X$6*($A77/100))/(1-X$6*(1+((1-phimax_pore)/phimax_pore^2)*($A77/100))*($A77/100))</f>
        <v>0.0522819693999415</v>
      </c>
      <c r="Y77" s="9" t="n">
        <f aca="false">Y$5*(1+A_pore*Y$6*($A77/100))/(1-Y$6*(1+((1-phimax_pore)/phimax_pore^2)*($A77/100))*($A77/100))</f>
        <v>0.0538266971212285</v>
      </c>
      <c r="Z77" s="9" t="n">
        <f aca="false">Z$5*(1+A_pore*Z$6*($A77/100))/(1-Z$6*(1+((1-phimax_pore)/phimax_pore^2)*($A77/100))*($A77/100))</f>
        <v>0.0555822629543825</v>
      </c>
      <c r="AA77" s="9" t="n">
        <f aca="false">AA$5*(1+A_pore*AA$6*($A77/100))/(1-AA$6*(1+((1-phimax_pore)/phimax_pore^2)*($A77/100))*($A77/100))</f>
        <v>0.0576000767477522</v>
      </c>
      <c r="AB77" s="9" t="n">
        <f aca="false">AB$5*(1+A_pore*AB$6*($A77/100))/(1-AB$6*(1+((1-phimax_pore)/phimax_pore^2)*($A77/100))*($A77/100))</f>
        <v>0.059949473591929</v>
      </c>
      <c r="AC77" s="9" t="n">
        <f aca="false">AC$5*(1+A_pore*AC$6*($A77/100))/(1-AC$6*(1+((1-phimax_pore)/phimax_pore^2)*($A77/100))*($A77/100))</f>
        <v>0.0627263080202076</v>
      </c>
      <c r="AD77" s="9" t="n">
        <f aca="false">AD$5*(1+A_pore*AD$6*($A77/100))/(1-AD$6*(1+((1-phimax_pore)/phimax_pore^2)*($A77/100))*($A77/100))</f>
        <v>0.0660670120432998</v>
      </c>
      <c r="AE77" s="9" t="n">
        <f aca="false">AE$5*(1+A_pore*AE$6*($A77/100))/(1-AE$6*(1+((1-phimax_pore)/phimax_pore^2)*($A77/100))*($A77/100))</f>
        <v>0.0701726508703098</v>
      </c>
      <c r="AF77" s="9" t="n">
        <f aca="false">AF$5*(1+A_pore*AF$6*($A77/100))/(1-AF$6*(1+((1-phimax_pore)/phimax_pore^2)*($A77/100))*($A77/100))</f>
        <v>0.0753523878225846</v>
      </c>
      <c r="AG77" s="9" t="n">
        <f aca="false">AG$5*(1+A_pore*AG$6*($A77/100))/(1-AG$6*(1+((1-phimax_pore)/phimax_pore^2)*($A77/100))*($A77/100))</f>
        <v>0.0821074683538172</v>
      </c>
      <c r="AH77" s="9" t="n">
        <f aca="false">AH$5*(1+A_pore*AH$6*($A77/100))/(1-AH$6*(1+((1-phimax_pore)/phimax_pore^2)*($A77/100))*($A77/100))</f>
        <v>0.0913078994312225</v>
      </c>
      <c r="AI77" s="9" t="n">
        <f aca="false">AI$5*(1+A_pore*AI$6*($A77/100))/(1-AI$6*(1+((1-phimax_pore)/phimax_pore^2)*($A77/100))*($A77/100))</f>
        <v>0.104608094806997</v>
      </c>
      <c r="AJ77" s="9" t="n">
        <f aca="false">AJ$5*(1+A_pore*AJ$6*($A77/100))/(1-AJ$6*(1+((1-phimax_pore)/phimax_pore^2)*($A77/100))*($A77/100))</f>
        <v>0.125588308556709</v>
      </c>
      <c r="AK77" s="9" t="n">
        <f aca="false">AK$5*(1+A_pore*AK$6*($A77/100))/(1-AK$6*(1+((1-phimax_pore)/phimax_pore^2)*($A77/100))*($A77/100))</f>
        <v>0.163707385127386</v>
      </c>
    </row>
    <row r="78" customFormat="false" ht="15" hidden="false" customHeight="false" outlineLevel="0" collapsed="false">
      <c r="A78" s="4" t="n">
        <v>69</v>
      </c>
      <c r="B78" s="9" t="n">
        <f aca="false">B$5*(1+A_pore*B$6*($A78/100))/(1-B$6*(1+((1-phimax_pore)/phimax_pore^2)*($A78/100))*($A78/100))</f>
        <v>0.0361619718612316</v>
      </c>
      <c r="C78" s="9" t="n">
        <f aca="false">C$5*(1+A_pore*C$6*($A78/100))/(1-C$6*(1+((1-phimax_pore)/phimax_pore^2)*($A78/100))*($A78/100))</f>
        <v>0.0366206306335395</v>
      </c>
      <c r="D78" s="9" t="n">
        <f aca="false">D$5*(1+A_pore*D$6*($A78/100))/(1-D$6*(1+((1-phimax_pore)/phimax_pore^2)*($A78/100))*($A78/100))</f>
        <v>0.037077253078431</v>
      </c>
      <c r="E78" s="9" t="n">
        <f aca="false">E$5*(1+A_pore*E$6*($A78/100))/(1-E$6*(1+((1-phimax_pore)/phimax_pore^2)*($A78/100))*($A78/100))</f>
        <v>0.0375347900729724</v>
      </c>
      <c r="F78" s="9" t="n">
        <f aca="false">F$5*(1+A_pore*F$6*($A78/100))/(1-F$6*(1+((1-phimax_pore)/phimax_pore^2)*($A78/100))*($A78/100))</f>
        <v>0.0379960254576293</v>
      </c>
      <c r="G78" s="9" t="n">
        <f aca="false">G$5*(1+A_pore*G$6*($A78/100))/(1-G$6*(1+((1-phimax_pore)/phimax_pore^2)*($A78/100))*($A78/100))</f>
        <v>0.0384636540345899</v>
      </c>
      <c r="H78" s="9" t="n">
        <f aca="false">H$5*(1+A_pore*H$6*($A78/100))/(1-H$6*(1+((1-phimax_pore)/phimax_pore^2)*($A78/100))*($A78/100))</f>
        <v>0.0389403505025698</v>
      </c>
      <c r="I78" s="9" t="n">
        <f aca="false">I$5*(1+A_pore*I$6*($A78/100))/(1-I$6*(1+((1-phimax_pore)/phimax_pore^2)*($A78/100))*($A78/100))</f>
        <v>0.0394288334676821</v>
      </c>
      <c r="J78" s="9" t="n">
        <f aca="false">J$5*(1+A_pore*J$6*($A78/100))/(1-J$6*(1+((1-phimax_pore)/phimax_pore^2)*($A78/100))*($A78/100))</f>
        <v>0.0399319280085997</v>
      </c>
      <c r="K78" s="9" t="n">
        <f aca="false">K$5*(1+A_pore*K$6*($A78/100))/(1-K$6*(1+((1-phimax_pore)/phimax_pore^2)*($A78/100))*($A78/100))</f>
        <v>0.04045262996166</v>
      </c>
      <c r="L78" s="9" t="n">
        <f aca="false">L$5*(1+A_pore*L$6*($A78/100))/(1-L$6*(1+((1-phimax_pore)/phimax_pore^2)*($A78/100))*($A78/100))</f>
        <v>0.0409941750672189</v>
      </c>
      <c r="M78" s="9" t="n">
        <f aca="false">M$5*(1+A_pore*M$6*($A78/100))/(1-M$6*(1+((1-phimax_pore)/phimax_pore^2)*($A78/100))*($A78/100))</f>
        <v>0.041560116364021</v>
      </c>
      <c r="N78" s="9" t="n">
        <f aca="false">N$5*(1+A_pore*N$6*($A78/100))/(1-N$6*(1+((1-phimax_pore)/phimax_pore^2)*($A78/100))*($A78/100))</f>
        <v>0.0421544137516362</v>
      </c>
      <c r="O78" s="9" t="n">
        <f aca="false">O$5*(1+A_pore*O$6*($A78/100))/(1-O$6*(1+((1-phimax_pore)/phimax_pore^2)*($A78/100))*($A78/100))</f>
        <v>0.0427815405180412</v>
      </c>
      <c r="P78" s="9" t="n">
        <f aca="false">P$5*(1+A_pore*P$6*($A78/100))/(1-P$6*(1+((1-phimax_pore)/phimax_pore^2)*($A78/100))*($A78/100))</f>
        <v>0.0434466129527585</v>
      </c>
      <c r="Q78" s="9" t="n">
        <f aca="false">Q$5*(1+A_pore*Q$6*($A78/100))/(1-Q$6*(1+((1-phimax_pore)/phimax_pore^2)*($A78/100))*($A78/100))</f>
        <v>0.0441555511025934</v>
      </c>
      <c r="R78" s="9" t="n">
        <f aca="false">R$5*(1+A_pore*R$6*($A78/100))/(1-R$6*(1+((1-phimax_pore)/phimax_pore^2)*($A78/100))*($A78/100))</f>
        <v>0.0449152815395979</v>
      </c>
      <c r="S78" s="9" t="n">
        <f aca="false">S$5*(1+A_pore*S$6*($A78/100))/(1-S$6*(1+((1-phimax_pore)/phimax_pore^2)*($A78/100))*($A78/100))</f>
        <v>0.0457339971106366</v>
      </c>
      <c r="T78" s="9" t="n">
        <f aca="false">T$5*(1+A_pore*T$6*($A78/100))/(1-T$6*(1+((1-phimax_pore)/phimax_pore^2)*($A78/100))*($A78/100))</f>
        <v>0.0466214946739513</v>
      </c>
      <c r="U78" s="9" t="n">
        <f aca="false">U$5*(1+A_pore*U$6*($A78/100))/(1-U$6*(1+((1-phimax_pore)/phimax_pore^2)*($A78/100))*($A78/100))</f>
        <v>0.047589620840657</v>
      </c>
      <c r="V78" s="9" t="n">
        <f aca="false">V$5*(1+A_pore*V$6*($A78/100))/(1-V$6*(1+((1-phimax_pore)/phimax_pore^2)*($A78/100))*($A78/100))</f>
        <v>0.0486528694275094</v>
      </c>
      <c r="W78" s="9" t="n">
        <f aca="false">W$5*(1+A_pore*W$6*($A78/100))/(1-W$6*(1+((1-phimax_pore)/phimax_pore^2)*($A78/100))*($A78/100))</f>
        <v>0.0498291955303937</v>
      </c>
      <c r="X78" s="9" t="n">
        <f aca="false">X$5*(1+A_pore*X$6*($A78/100))/(1-X$6*(1+((1-phimax_pore)/phimax_pore^2)*($A78/100))*($A78/100))</f>
        <v>0.0511411447092721</v>
      </c>
      <c r="Y78" s="9" t="n">
        <f aca="false">Y$5*(1+A_pore*Y$6*($A78/100))/(1-Y$6*(1+((1-phimax_pore)/phimax_pore^2)*($A78/100))*($A78/100))</f>
        <v>0.0526174503054381</v>
      </c>
      <c r="Z78" s="9" t="n">
        <f aca="false">Z$5*(1+A_pore*Z$6*($A78/100))/(1-Z$6*(1+((1-phimax_pore)/phimax_pore^2)*($A78/100))*($A78/100))</f>
        <v>0.0542953429792026</v>
      </c>
      <c r="AA78" s="9" t="n">
        <f aca="false">AA$5*(1+A_pore*AA$6*($A78/100))/(1-AA$6*(1+((1-phimax_pore)/phimax_pore^2)*($A78/100))*($A78/100))</f>
        <v>0.056223973538011</v>
      </c>
      <c r="AB78" s="9" t="n">
        <f aca="false">AB$5*(1+A_pore*AB$6*($A78/100))/(1-AB$6*(1+((1-phimax_pore)/phimax_pore^2)*($A78/100))*($A78/100))</f>
        <v>0.0584696306567026</v>
      </c>
      <c r="AC78" s="9" t="n">
        <f aca="false">AC$5*(1+A_pore*AC$6*($A78/100))/(1-AC$6*(1+((1-phimax_pore)/phimax_pore^2)*($A78/100))*($A78/100))</f>
        <v>0.061123957558604</v>
      </c>
      <c r="AD78" s="9" t="n">
        <f aca="false">AD$5*(1+A_pore*AD$6*($A78/100))/(1-AD$6*(1+((1-phimax_pore)/phimax_pore^2)*($A78/100))*($A78/100))</f>
        <v>0.0643173925205826</v>
      </c>
      <c r="AE78" s="9" t="n">
        <f aca="false">AE$5*(1+A_pore*AE$6*($A78/100))/(1-AE$6*(1+((1-phimax_pore)/phimax_pore^2)*($A78/100))*($A78/100))</f>
        <v>0.068242167895357</v>
      </c>
      <c r="AF78" s="9" t="n">
        <f aca="false">AF$5*(1+A_pore*AF$6*($A78/100))/(1-AF$6*(1+((1-phimax_pore)/phimax_pore^2)*($A78/100))*($A78/100))</f>
        <v>0.0731938657379445</v>
      </c>
      <c r="AG78" s="9" t="n">
        <f aca="false">AG$5*(1+A_pore*AG$6*($A78/100))/(1-AG$6*(1+((1-phimax_pore)/phimax_pore^2)*($A78/100))*($A78/100))</f>
        <v>0.0796517126533204</v>
      </c>
      <c r="AH78" s="9" t="n">
        <f aca="false">AH$5*(1+A_pore*AH$6*($A78/100))/(1-AH$6*(1+((1-phimax_pore)/phimax_pore^2)*($A78/100))*($A78/100))</f>
        <v>0.0884474981708996</v>
      </c>
      <c r="AI78" s="9" t="n">
        <f aca="false">AI$5*(1+A_pore*AI$6*($A78/100))/(1-AI$6*(1+((1-phimax_pore)/phimax_pore^2)*($A78/100))*($A78/100))</f>
        <v>0.101162961941443</v>
      </c>
      <c r="AJ78" s="9" t="n">
        <f aca="false">AJ$5*(1+A_pore*AJ$6*($A78/100))/(1-AJ$6*(1+((1-phimax_pore)/phimax_pore^2)*($A78/100))*($A78/100))</f>
        <v>0.121221087459603</v>
      </c>
      <c r="AK78" s="9" t="n">
        <f aca="false">AK$5*(1+A_pore*AK$6*($A78/100))/(1-AK$6*(1+((1-phimax_pore)/phimax_pore^2)*($A78/100))*($A78/100))</f>
        <v>0.157665219440479</v>
      </c>
    </row>
    <row r="79" customFormat="false" ht="15" hidden="false" customHeight="false" outlineLevel="0" collapsed="false">
      <c r="A79" s="4" t="n">
        <v>70</v>
      </c>
      <c r="B79" s="9" t="n">
        <f aca="false">B$5*(1+A_pore*B$6*($A79/100))/(1-B$6*(1+((1-phimax_pore)/phimax_pore^2)*($A79/100))*($A79/100))</f>
        <v>0.035734973138758</v>
      </c>
      <c r="C79" s="9" t="n">
        <f aca="false">C$5*(1+A_pore*C$6*($A79/100))/(1-C$6*(1+((1-phimax_pore)/phimax_pore^2)*($A79/100))*($A79/100))</f>
        <v>0.0361721722000513</v>
      </c>
      <c r="D79" s="9" t="n">
        <f aca="false">D$5*(1+A_pore*D$6*($A79/100))/(1-D$6*(1+((1-phimax_pore)/phimax_pore^2)*($A79/100))*($A79/100))</f>
        <v>0.0366074361143478</v>
      </c>
      <c r="E79" s="9" t="n">
        <f aca="false">E$5*(1+A_pore*E$6*($A79/100))/(1-E$6*(1+((1-phimax_pore)/phimax_pore^2)*($A79/100))*($A79/100))</f>
        <v>0.0370435895386887</v>
      </c>
      <c r="F79" s="9" t="n">
        <f aca="false">F$5*(1+A_pore*F$6*($A79/100))/(1-F$6*(1+((1-phimax_pore)/phimax_pore^2)*($A79/100))*($A79/100))</f>
        <v>0.0374832954687524</v>
      </c>
      <c r="G79" s="9" t="n">
        <f aca="false">G$5*(1+A_pore*G$6*($A79/100))/(1-G$6*(1+((1-phimax_pore)/phimax_pore^2)*($A79/100))*($A79/100))</f>
        <v>0.0379291303669198</v>
      </c>
      <c r="H79" s="9" t="n">
        <f aca="false">H$5*(1+A_pore*H$6*($A79/100))/(1-H$6*(1+((1-phimax_pore)/phimax_pore^2)*($A79/100))*($A79/100))</f>
        <v>0.0383836504472091</v>
      </c>
      <c r="I79" s="9" t="n">
        <f aca="false">I$5*(1+A_pore*I$6*($A79/100))/(1-I$6*(1+((1-phimax_pore)/phimax_pore^2)*($A79/100))*($A79/100))</f>
        <v>0.0388494531292811</v>
      </c>
      <c r="J79" s="9" t="n">
        <f aca="false">J$5*(1+A_pore*J$6*($A79/100))/(1-J$6*(1+((1-phimax_pore)/phimax_pore^2)*($A79/100))*($A79/100))</f>
        <v>0.039329237022853</v>
      </c>
      <c r="K79" s="9" t="n">
        <f aca="false">K$5*(1+A_pore*K$6*($A79/100))/(1-K$6*(1+((1-phimax_pore)/phimax_pore^2)*($A79/100))*($A79/100))</f>
        <v>0.039825863492822</v>
      </c>
      <c r="L79" s="9" t="n">
        <f aca="false">L$5*(1+A_pore*L$6*($A79/100))/(1-L$6*(1+((1-phimax_pore)/phimax_pore^2)*($A79/100))*($A79/100))</f>
        <v>0.0403424228239049</v>
      </c>
      <c r="M79" s="9" t="n">
        <f aca="false">M$5*(1+A_pore*M$6*($A79/100))/(1-M$6*(1+((1-phimax_pore)/phimax_pore^2)*($A79/100))*($A79/100))</f>
        <v>0.0408823082325532</v>
      </c>
      <c r="N79" s="9" t="n">
        <f aca="false">N$5*(1+A_pore*N$6*($A79/100))/(1-N$6*(1+((1-phimax_pore)/phimax_pore^2)*($A79/100))*($A79/100))</f>
        <v>0.0414493014795643</v>
      </c>
      <c r="O79" s="9" t="n">
        <f aca="false">O$5*(1+A_pore*O$6*($A79/100))/(1-O$6*(1+((1-phimax_pore)/phimax_pore^2)*($A79/100))*($A79/100))</f>
        <v>0.0420476746720071</v>
      </c>
      <c r="P79" s="9" t="n">
        <f aca="false">P$5*(1+A_pore*P$6*($A79/100))/(1-P$6*(1+((1-phimax_pore)/phimax_pore^2)*($A79/100))*($A79/100))</f>
        <v>0.0426823141053924</v>
      </c>
      <c r="Q79" s="9" t="n">
        <f aca="false">Q$5*(1+A_pore*Q$6*($A79/100))/(1-Q$6*(1+((1-phimax_pore)/phimax_pore^2)*($A79/100))*($A79/100))</f>
        <v>0.043358873845709</v>
      </c>
      <c r="R79" s="9" t="n">
        <f aca="false">R$5*(1+A_pore*R$6*($A79/100))/(1-R$6*(1+((1-phimax_pore)/phimax_pore^2)*($A79/100))*($A79/100))</f>
        <v>0.0440839694367547</v>
      </c>
      <c r="S79" s="9" t="n">
        <f aca="false">S$5*(1+A_pore*S$6*($A79/100))/(1-S$6*(1+((1-phimax_pore)/phimax_pore^2)*($A79/100))*($A79/100))</f>
        <v>0.0448654260337962</v>
      </c>
      <c r="T79" s="9" t="n">
        <f aca="false">T$5*(1+A_pore*T$6*($A79/100))/(1-T$6*(1+((1-phimax_pore)/phimax_pore^2)*($A79/100))*($A79/100))</f>
        <v>0.0457126010299854</v>
      </c>
      <c r="U79" s="9" t="n">
        <f aca="false">U$5*(1+A_pore*U$6*($A79/100))/(1-U$6*(1+((1-phimax_pore)/phimax_pore^2)*($A79/100))*($A79/100))</f>
        <v>0.0466368098507541</v>
      </c>
      <c r="V79" s="9" t="n">
        <f aca="false">V$5*(1+A_pore*V$6*($A79/100))/(1-V$6*(1+((1-phimax_pore)/phimax_pore^2)*($A79/100))*($A79/100))</f>
        <v>0.0476518966668754</v>
      </c>
      <c r="W79" s="9" t="n">
        <f aca="false">W$5*(1+A_pore*W$6*($A79/100))/(1-W$6*(1+((1-phimax_pore)/phimax_pore^2)*($A79/100))*($A79/100))</f>
        <v>0.0487750120307448</v>
      </c>
      <c r="X79" s="9" t="n">
        <f aca="false">X$5*(1+A_pore*X$6*($A79/100))/(1-X$6*(1+((1-phimax_pore)/phimax_pore^2)*($A79/100))*($A79/100))</f>
        <v>0.0500276915184648</v>
      </c>
      <c r="Y79" s="9" t="n">
        <f aca="false">Y$5*(1+A_pore*Y$6*($A79/100))/(1-Y$6*(1+((1-phimax_pore)/phimax_pore^2)*($A79/100))*($A79/100))</f>
        <v>0.0514373815495199</v>
      </c>
      <c r="Z79" s="9" t="n">
        <f aca="false">Z$5*(1+A_pore*Z$6*($A79/100))/(1-Z$6*(1+((1-phimax_pore)/phimax_pore^2)*($A79/100))*($A79/100))</f>
        <v>0.0530396455467886</v>
      </c>
      <c r="AA79" s="9" t="n">
        <f aca="false">AA$5*(1+A_pore*AA$6*($A79/100))/(1-AA$6*(1+((1-phimax_pore)/phimax_pore^2)*($A79/100))*($A79/100))</f>
        <v>0.0548814335548159</v>
      </c>
      <c r="AB79" s="9" t="n">
        <f aca="false">AB$5*(1+A_pore*AB$6*($A79/100))/(1-AB$6*(1+((1-phimax_pore)/phimax_pore^2)*($A79/100))*($A79/100))</f>
        <v>0.0570260664091164</v>
      </c>
      <c r="AC79" s="9" t="n">
        <f aca="false">AC$5*(1+A_pore*AC$6*($A79/100))/(1-AC$6*(1+((1-phimax_pore)/phimax_pore^2)*($A79/100))*($A79/100))</f>
        <v>0.0595610846301634</v>
      </c>
      <c r="AD79" s="9" t="n">
        <f aca="false">AD$5*(1+A_pore*AD$6*($A79/100))/(1-AD$6*(1+((1-phimax_pore)/phimax_pore^2)*($A79/100))*($A79/100))</f>
        <v>0.062611087318529</v>
      </c>
      <c r="AE79" s="9" t="n">
        <f aca="false">AE$5*(1+A_pore*AE$6*($A79/100))/(1-AE$6*(1+((1-phimax_pore)/phimax_pore^2)*($A79/100))*($A79/100))</f>
        <v>0.0663597017200349</v>
      </c>
      <c r="AF79" s="9" t="n">
        <f aca="false">AF$5*(1+A_pore*AF$6*($A79/100))/(1-AF$6*(1+((1-phimax_pore)/phimax_pore^2)*($A79/100))*($A79/100))</f>
        <v>0.0710892787859642</v>
      </c>
      <c r="AG79" s="9" t="n">
        <f aca="false">AG$5*(1+A_pore*AG$6*($A79/100))/(1-AG$6*(1+((1-phimax_pore)/phimax_pore^2)*($A79/100))*($A79/100))</f>
        <v>0.0772575939546844</v>
      </c>
      <c r="AH79" s="9" t="n">
        <f aca="false">AH$5*(1+A_pore*AH$6*($A79/100))/(1-AH$6*(1+((1-phimax_pore)/phimax_pore^2)*($A79/100))*($A79/100))</f>
        <v>0.0856592045972459</v>
      </c>
      <c r="AI79" s="9" t="n">
        <f aca="false">AI$5*(1+A_pore*AI$6*($A79/100))/(1-AI$6*(1+((1-phimax_pore)/phimax_pore^2)*($A79/100))*($A79/100))</f>
        <v>0.0978050498306782</v>
      </c>
      <c r="AJ79" s="9" t="n">
        <f aca="false">AJ$5*(1+A_pore*AJ$6*($A79/100))/(1-AJ$6*(1+((1-phimax_pore)/phimax_pore^2)*($A79/100))*($A79/100))</f>
        <v>0.116964897023</v>
      </c>
      <c r="AK79" s="9" t="n">
        <f aca="false">AK$5*(1+A_pore*AK$6*($A79/100))/(1-AK$6*(1+((1-phimax_pore)/phimax_pore^2)*($A79/100))*($A79/100))</f>
        <v>0.151777302727164</v>
      </c>
    </row>
    <row r="80" customFormat="false" ht="15" hidden="false" customHeight="false" outlineLevel="0" collapsed="false">
      <c r="A80" s="4" t="n">
        <v>71</v>
      </c>
      <c r="B80" s="9" t="n">
        <f aca="false">B$5*(1+A_pore*B$6*($A80/100))/(1-B$6*(1+((1-phimax_pore)/phimax_pore^2)*($A80/100))*($A80/100))</f>
        <v>0.035315826415174</v>
      </c>
      <c r="C80" s="9" t="n">
        <f aca="false">C$5*(1+A_pore*C$6*($A80/100))/(1-C$6*(1+((1-phimax_pore)/phimax_pore^2)*($A80/100))*($A80/100))</f>
        <v>0.0357321614000443</v>
      </c>
      <c r="D80" s="9" t="n">
        <f aca="false">D$5*(1+A_pore*D$6*($A80/100))/(1-D$6*(1+((1-phimax_pore)/phimax_pore^2)*($A80/100))*($A80/100))</f>
        <v>0.0361466621216024</v>
      </c>
      <c r="E80" s="9" t="n">
        <f aca="false">E$5*(1+A_pore*E$6*($A80/100))/(1-E$6*(1+((1-phimax_pore)/phimax_pore^2)*($A80/100))*($A80/100))</f>
        <v>0.0365620293290724</v>
      </c>
      <c r="F80" s="9" t="n">
        <f aca="false">F$5*(1+A_pore*F$6*($A80/100))/(1-F$6*(1+((1-phimax_pore)/phimax_pore^2)*($A80/100))*($A80/100))</f>
        <v>0.0369808075851028</v>
      </c>
      <c r="G80" s="9" t="n">
        <f aca="false">G$5*(1+A_pore*G$6*($A80/100))/(1-G$6*(1+((1-phimax_pore)/phimax_pore^2)*($A80/100))*($A80/100))</f>
        <v>0.0374054575355423</v>
      </c>
      <c r="H80" s="9" t="n">
        <f aca="false">H$5*(1+A_pore*H$6*($A80/100))/(1-H$6*(1+((1-phimax_pore)/phimax_pore^2)*($A80/100))*($A80/100))</f>
        <v>0.0378384195675326</v>
      </c>
      <c r="I80" s="9" t="n">
        <f aca="false">I$5*(1+A_pore*I$6*($A80/100))/(1-I$6*(1+((1-phimax_pore)/phimax_pore^2)*($A80/100))*($A80/100))</f>
        <v>0.038282172739131</v>
      </c>
      <c r="J80" s="9" t="n">
        <f aca="false">J$5*(1+A_pore*J$6*($A80/100))/(1-J$6*(1+((1-phimax_pore)/phimax_pore^2)*($A80/100))*($A80/100))</f>
        <v>0.0387392922245417</v>
      </c>
      <c r="K80" s="9" t="n">
        <f aca="false">K$5*(1+A_pore*K$6*($A80/100))/(1-K$6*(1+((1-phimax_pore)/phimax_pore^2)*($A80/100))*($A80/100))</f>
        <v>0.0392125082105036</v>
      </c>
      <c r="L80" s="9" t="n">
        <f aca="false">L$5*(1+A_pore*L$6*($A80/100))/(1-L$6*(1+((1-phimax_pore)/phimax_pore^2)*($A80/100))*($A80/100))</f>
        <v>0.0397047691416089</v>
      </c>
      <c r="M80" s="9" t="n">
        <f aca="false">M$5*(1+A_pore*M$6*($A80/100))/(1-M$6*(1+((1-phimax_pore)/phimax_pore^2)*($A80/100))*($A80/100))</f>
        <v>0.040219312425664</v>
      </c>
      <c r="N80" s="9" t="n">
        <f aca="false">N$5*(1+A_pore*N$6*($A80/100))/(1-N$6*(1+((1-phimax_pore)/phimax_pore^2)*($A80/100))*($A80/100))</f>
        <v>0.040759746189277</v>
      </c>
      <c r="O80" s="9" t="n">
        <f aca="false">O$5*(1+A_pore*O$6*($A80/100))/(1-O$6*(1+((1-phimax_pore)/phimax_pore^2)*($A80/100))*($A80/100))</f>
        <v>0.0413301464685156</v>
      </c>
      <c r="P80" s="9" t="n">
        <f aca="false">P$5*(1+A_pore*P$6*($A80/100))/(1-P$6*(1+((1-phimax_pore)/phimax_pore^2)*($A80/100))*($A80/100))</f>
        <v>0.0419351754224932</v>
      </c>
      <c r="Q80" s="9" t="n">
        <f aca="false">Q$5*(1+A_pore*Q$6*($A80/100))/(1-Q$6*(1+((1-phimax_pore)/phimax_pore^2)*($A80/100))*($A80/100))</f>
        <v>0.0425802279208478</v>
      </c>
      <c r="R80" s="9" t="n">
        <f aca="false">R$5*(1+A_pore*R$6*($A80/100))/(1-R$6*(1+((1-phimax_pore)/phimax_pore^2)*($A80/100))*($A80/100))</f>
        <v>0.0432716164184186</v>
      </c>
      <c r="S80" s="9" t="n">
        <f aca="false">S$5*(1+A_pore*S$6*($A80/100))/(1-S$6*(1+((1-phimax_pore)/phimax_pore^2)*($A80/100))*($A80/100))</f>
        <v>0.0440168077666432</v>
      </c>
      <c r="T80" s="9" t="n">
        <f aca="false">T$5*(1+A_pore*T$6*($A80/100))/(1-T$6*(1+((1-phimax_pore)/phimax_pore^2)*($A80/100))*($A80/100))</f>
        <v>0.0448247311128921</v>
      </c>
      <c r="U80" s="9" t="n">
        <f aca="false">U$5*(1+A_pore*U$6*($A80/100))/(1-U$6*(1+((1-phimax_pore)/phimax_pore^2)*($A80/100))*($A80/100))</f>
        <v>0.045706184254331</v>
      </c>
      <c r="V80" s="9" t="n">
        <f aca="false">V$5*(1+A_pore*V$6*($A80/100))/(1-V$6*(1+((1-phimax_pore)/phimax_pore^2)*($A80/100))*($A80/100))</f>
        <v>0.0466743782910471</v>
      </c>
      <c r="W80" s="9" t="n">
        <f aca="false">W$5*(1+A_pore*W$6*($A80/100))/(1-W$6*(1+((1-phimax_pore)/phimax_pore^2)*($A80/100))*($A80/100))</f>
        <v>0.0477456797519859</v>
      </c>
      <c r="X80" s="9" t="n">
        <f aca="false">X$5*(1+A_pore*X$6*($A80/100))/(1-X$6*(1+((1-phimax_pore)/phimax_pore^2)*($A80/100))*($A80/100))</f>
        <v>0.0489406399802999</v>
      </c>
      <c r="Y80" s="9" t="n">
        <f aca="false">Y$5*(1+A_pore*Y$6*($A80/100))/(1-Y$6*(1+((1-phimax_pore)/phimax_pore^2)*($A80/100))*($A80/100))</f>
        <v>0.0502854512751545</v>
      </c>
      <c r="Z80" s="9" t="n">
        <f aca="false">Z$5*(1+A_pore*Z$6*($A80/100))/(1-Z$6*(1+((1-phimax_pore)/phimax_pore^2)*($A80/100))*($A80/100))</f>
        <v>0.0518140523054598</v>
      </c>
      <c r="AA80" s="9" t="n">
        <f aca="false">AA$5*(1+A_pore*AA$6*($A80/100))/(1-AA$6*(1+((1-phimax_pore)/phimax_pore^2)*($A80/100))*($A80/100))</f>
        <v>0.0535712484183661</v>
      </c>
      <c r="AB80" s="9" t="n">
        <f aca="false">AB$5*(1+A_pore*AB$6*($A80/100))/(1-AB$6*(1+((1-phimax_pore)/phimax_pore^2)*($A80/100))*($A80/100))</f>
        <v>0.0556174682030024</v>
      </c>
      <c r="AC80" s="9" t="n">
        <f aca="false">AC$5*(1+A_pore*AC$6*($A80/100))/(1-AC$6*(1+((1-phimax_pore)/phimax_pore^2)*($A80/100))*($A80/100))</f>
        <v>0.0580362539600865</v>
      </c>
      <c r="AD80" s="9" t="n">
        <f aca="false">AD$5*(1+A_pore*AD$6*($A80/100))/(1-AD$6*(1+((1-phimax_pore)/phimax_pore^2)*($A80/100))*($A80/100))</f>
        <v>0.0609465143023947</v>
      </c>
      <c r="AE80" s="9" t="n">
        <f aca="false">AE$5*(1+A_pore*AE$6*($A80/100))/(1-AE$6*(1+((1-phimax_pore)/phimax_pore^2)*($A80/100))*($A80/100))</f>
        <v>0.0645234904698279</v>
      </c>
      <c r="AF80" s="9" t="n">
        <f aca="false">AF$5*(1+A_pore*AF$6*($A80/100))/(1-AF$6*(1+((1-phimax_pore)/phimax_pore^2)*($A80/100))*($A80/100))</f>
        <v>0.0690366391754855</v>
      </c>
      <c r="AG80" s="9" t="n">
        <f aca="false">AG$5*(1+A_pore*AG$6*($A80/100))/(1-AG$6*(1+((1-phimax_pore)/phimax_pore^2)*($A80/100))*($A80/100))</f>
        <v>0.0749228308161778</v>
      </c>
      <c r="AH80" s="9" t="n">
        <f aca="false">AH$5*(1+A_pore*AH$6*($A80/100))/(1-AH$6*(1+((1-phimax_pore)/phimax_pore^2)*($A80/100))*($A80/100))</f>
        <v>0.082940338469372</v>
      </c>
      <c r="AI80" s="9" t="n">
        <f aca="false">AI$5*(1+A_pore*AI$6*($A80/100))/(1-AI$6*(1+((1-phimax_pore)/phimax_pore^2)*($A80/100))*($A80/100))</f>
        <v>0.0945311031401935</v>
      </c>
      <c r="AJ80" s="9" t="n">
        <f aca="false">AJ$5*(1+A_pore*AJ$6*($A80/100))/(1-AJ$6*(1+((1-phimax_pore)/phimax_pore^2)*($A80/100))*($A80/100))</f>
        <v>0.11281557656315</v>
      </c>
      <c r="AK80" s="9" t="n">
        <f aca="false">AK$5*(1+A_pore*AK$6*($A80/100))/(1-AK$6*(1+((1-phimax_pore)/phimax_pore^2)*($A80/100))*($A80/100))</f>
        <v>0.146037831945738</v>
      </c>
    </row>
    <row r="81" customFormat="false" ht="15" hidden="false" customHeight="false" outlineLevel="0" collapsed="false">
      <c r="A81" s="4" t="n">
        <v>72</v>
      </c>
      <c r="B81" s="9" t="n">
        <f aca="false">B$5*(1+A_pore*B$6*($A81/100))/(1-B$6*(1+((1-phimax_pore)/phimax_pore^2)*($A81/100))*($A81/100))</f>
        <v>0.034904317578028</v>
      </c>
      <c r="C81" s="9" t="n">
        <f aca="false">C$5*(1+A_pore*C$6*($A81/100))/(1-C$6*(1+((1-phimax_pore)/phimax_pore^2)*($A81/100))*($A81/100))</f>
        <v>0.0353003623265611</v>
      </c>
      <c r="D81" s="9" t="n">
        <f aca="false">D$5*(1+A_pore*D$6*($A81/100))/(1-D$6*(1+((1-phimax_pore)/phimax_pore^2)*($A81/100))*($A81/100))</f>
        <v>0.0356946731250718</v>
      </c>
      <c r="E81" s="9" t="n">
        <f aca="false">E$5*(1+A_pore*E$6*($A81/100))/(1-E$6*(1+((1-phimax_pore)/phimax_pore^2)*($A81/100))*($A81/100))</f>
        <v>0.0360898290906735</v>
      </c>
      <c r="F81" s="9" t="n">
        <f aca="false">F$5*(1+A_pore*F$6*($A81/100))/(1-F$6*(1+((1-phimax_pore)/phimax_pore^2)*($A81/100))*($A81/100))</f>
        <v>0.0364882587153822</v>
      </c>
      <c r="G81" s="9" t="n">
        <f aca="false">G$5*(1+A_pore*G$6*($A81/100))/(1-G$6*(1+((1-phimax_pore)/phimax_pore^2)*($A81/100))*($A81/100))</f>
        <v>0.0368923092908433</v>
      </c>
      <c r="H81" s="9" t="n">
        <f aca="false">H$5*(1+A_pore*H$6*($A81/100))/(1-H$6*(1+((1-phimax_pore)/phimax_pore^2)*($A81/100))*($A81/100))</f>
        <v>0.0373043079631396</v>
      </c>
      <c r="I81" s="9" t="n">
        <f aca="false">I$5*(1+A_pore*I$6*($A81/100))/(1-I$6*(1+((1-phimax_pore)/phimax_pore^2)*($A81/100))*($A81/100))</f>
        <v>0.0377266181704169</v>
      </c>
      <c r="J81" s="9" t="n">
        <f aca="false">J$5*(1+A_pore*J$6*($A81/100))/(1-J$6*(1+((1-phimax_pore)/phimax_pore^2)*($A81/100))*($A81/100))</f>
        <v>0.0381616945898392</v>
      </c>
      <c r="K81" s="9" t="n">
        <f aca="false">K$5*(1+A_pore*K$6*($A81/100))/(1-K$6*(1+((1-phimax_pore)/phimax_pore^2)*($A81/100))*($A81/100))</f>
        <v>0.0386121394152914</v>
      </c>
      <c r="L81" s="9" t="n">
        <f aca="false">L$5*(1+A_pore*L$6*($A81/100))/(1-L$6*(1+((1-phimax_pore)/phimax_pore^2)*($A81/100))*($A81/100))</f>
        <v>0.0390807627440173</v>
      </c>
      <c r="M81" s="9" t="n">
        <f aca="false">M$5*(1+A_pore*M$6*($A81/100))/(1-M$6*(1+((1-phimax_pore)/phimax_pore^2)*($A81/100))*($A81/100))</f>
        <v>0.0395706500489547</v>
      </c>
      <c r="N81" s="9" t="n">
        <f aca="false">N$5*(1+A_pore*N$6*($A81/100))/(1-N$6*(1+((1-phimax_pore)/phimax_pore^2)*($A81/100))*($A81/100))</f>
        <v>0.0400852401670028</v>
      </c>
      <c r="O81" s="9" t="n">
        <f aca="false">O$5*(1+A_pore*O$6*($A81/100))/(1-O$6*(1+((1-phimax_pore)/phimax_pore^2)*($A81/100))*($A81/100))</f>
        <v>0.0406284179888255</v>
      </c>
      <c r="P81" s="9" t="n">
        <f aca="false">P$5*(1+A_pore*P$6*($A81/100))/(1-P$6*(1+((1-phimax_pore)/phimax_pore^2)*($A81/100))*($A81/100))</f>
        <v>0.0412046271811531</v>
      </c>
      <c r="Q81" s="9" t="n">
        <f aca="false">Q$5*(1+A_pore*Q$6*($A81/100))/(1-Q$6*(1+((1-phimax_pore)/phimax_pore^2)*($A81/100))*($A81/100))</f>
        <v>0.0418190099523367</v>
      </c>
      <c r="R81" s="9" t="n">
        <f aca="false">R$5*(1+A_pore*R$6*($A81/100))/(1-R$6*(1+((1-phimax_pore)/phimax_pore^2)*($A81/100))*($A81/100))</f>
        <v>0.042477583313973</v>
      </c>
      <c r="S81" s="9" t="n">
        <f aca="false">S$5*(1+A_pore*S$6*($A81/100))/(1-S$6*(1+((1-phimax_pore)/phimax_pore^2)*($A81/100))*($A81/100))</f>
        <v>0.0431874648528097</v>
      </c>
      <c r="T81" s="9" t="n">
        <f aca="false">T$5*(1+A_pore*T$6*($A81/100))/(1-T$6*(1+((1-phimax_pore)/phimax_pore^2)*($A81/100))*($A81/100))</f>
        <v>0.0439571662718185</v>
      </c>
      <c r="U81" s="9" t="n">
        <f aca="false">U$5*(1+A_pore*U$6*($A81/100))/(1-U$6*(1+((1-phimax_pore)/phimax_pore^2)*($A81/100))*($A81/100))</f>
        <v>0.0447969807911918</v>
      </c>
      <c r="V81" s="9" t="n">
        <f aca="false">V$5*(1+A_pore*V$6*($A81/100))/(1-V$6*(1+((1-phimax_pore)/phimax_pore^2)*($A81/100))*($A81/100))</f>
        <v>0.0457195023958966</v>
      </c>
      <c r="W81" s="9" t="n">
        <f aca="false">W$5*(1+A_pore*W$6*($A81/100))/(1-W$6*(1+((1-phimax_pore)/phimax_pore^2)*($A81/100))*($A81/100))</f>
        <v>0.0467403333434391</v>
      </c>
      <c r="X81" s="9" t="n">
        <f aca="false">X$5*(1+A_pore*X$6*($A81/100))/(1-X$6*(1+((1-phimax_pore)/phimax_pore^2)*($A81/100))*($A81/100))</f>
        <v>0.0478790655304319</v>
      </c>
      <c r="Y81" s="9" t="n">
        <f aca="false">Y$5*(1+A_pore*Y$6*($A81/100))/(1-Y$6*(1+((1-phimax_pore)/phimax_pore^2)*($A81/100))*($A81/100))</f>
        <v>0.0491606687080505</v>
      </c>
      <c r="Z81" s="9" t="n">
        <f aca="false">Z$5*(1+A_pore*Z$6*($A81/100))/(1-Z$6*(1+((1-phimax_pore)/phimax_pore^2)*($A81/100))*($A81/100))</f>
        <v>0.0506174976822442</v>
      </c>
      <c r="AA81" s="9" t="n">
        <f aca="false">AA$5*(1+A_pore*AA$6*($A81/100))/(1-AA$6*(1+((1-phimax_pore)/phimax_pore^2)*($A81/100))*($A81/100))</f>
        <v>0.0522922670663057</v>
      </c>
      <c r="AB81" s="9" t="n">
        <f aca="false">AB$5*(1+A_pore*AB$6*($A81/100))/(1-AB$6*(1+((1-phimax_pore)/phimax_pore^2)*($A81/100))*($A81/100))</f>
        <v>0.0542425859615219</v>
      </c>
      <c r="AC81" s="9" t="n">
        <f aca="false">AC$5*(1+A_pore*AC$6*($A81/100))/(1-AC$6*(1+((1-phimax_pore)/phimax_pore^2)*($A81/100))*($A81/100))</f>
        <v>0.0565480990140617</v>
      </c>
      <c r="AD81" s="9" t="n">
        <f aca="false">AD$5*(1+A_pore*AD$6*($A81/100))/(1-AD$6*(1+((1-phimax_pore)/phimax_pore^2)*($A81/100))*($A81/100))</f>
        <v>0.0593221674617363</v>
      </c>
      <c r="AE81" s="9" t="n">
        <f aca="false">AE$5*(1+A_pore*AE$6*($A81/100))/(1-AE$6*(1+((1-phimax_pore)/phimax_pore^2)*($A81/100))*($A81/100))</f>
        <v>0.0627318574233441</v>
      </c>
      <c r="AF81" s="9" t="n">
        <f aca="false">AF$5*(1+A_pore*AF$6*($A81/100))/(1-AF$6*(1+((1-phimax_pore)/phimax_pore^2)*($A81/100))*($A81/100))</f>
        <v>0.0670340556070773</v>
      </c>
      <c r="AG81" s="9" t="n">
        <f aca="false">AG$5*(1+A_pore*AG$6*($A81/100))/(1-AG$6*(1+((1-phimax_pore)/phimax_pore^2)*($A81/100))*($A81/100))</f>
        <v>0.0726452530139281</v>
      </c>
      <c r="AH81" s="9" t="n">
        <f aca="false">AH$5*(1+A_pore*AH$6*($A81/100))/(1-AH$6*(1+((1-phimax_pore)/phimax_pore^2)*($A81/100))*($A81/100))</f>
        <v>0.080288350748477</v>
      </c>
      <c r="AI81" s="9" t="n">
        <f aca="false">AI$5*(1+A_pore*AI$6*($A81/100))/(1-AI$6*(1+((1-phimax_pore)/phimax_pore^2)*($A81/100))*($A81/100))</f>
        <v>0.0913380265368998</v>
      </c>
      <c r="AJ81" s="9" t="n">
        <f aca="false">AJ$5*(1+A_pore*AJ$6*($A81/100))/(1-AJ$6*(1+((1-phimax_pore)/phimax_pore^2)*($A81/100))*($A81/100))</f>
        <v>0.108769170709594</v>
      </c>
      <c r="AK81" s="9" t="n">
        <f aca="false">AK$5*(1+A_pore*AK$6*($A81/100))/(1-AK$6*(1+((1-phimax_pore)/phimax_pore^2)*($A81/100))*($A81/100))</f>
        <v>0.140441291528193</v>
      </c>
    </row>
    <row r="82" customFormat="false" ht="15" hidden="false" customHeight="false" outlineLevel="0" collapsed="false">
      <c r="A82" s="4" t="n">
        <v>73</v>
      </c>
      <c r="B82" s="9" t="n">
        <f aca="false">B$5*(1+A_pore*B$6*($A82/100))/(1-B$6*(1+((1-phimax_pore)/phimax_pore^2)*($A82/100))*($A82/100))</f>
        <v>0.0345002402292565</v>
      </c>
      <c r="C82" s="9" t="n">
        <f aca="false">C$5*(1+A_pore*C$6*($A82/100))/(1-C$6*(1+((1-phimax_pore)/phimax_pore^2)*($A82/100))*($A82/100))</f>
        <v>0.0348765477752658</v>
      </c>
      <c r="D82" s="9" t="n">
        <f aca="false">D$5*(1+A_pore*D$6*($A82/100))/(1-D$6*(1+((1-phimax_pore)/phimax_pore^2)*($A82/100))*($A82/100))</f>
        <v>0.0352512208695345</v>
      </c>
      <c r="E82" s="9" t="n">
        <f aca="false">E$5*(1+A_pore*E$6*($A82/100))/(1-E$6*(1+((1-phimax_pore)/phimax_pore^2)*($A82/100))*($A82/100))</f>
        <v>0.0356267192361352</v>
      </c>
      <c r="F82" s="9" t="n">
        <f aca="false">F$5*(1+A_pore*F$6*($A82/100))/(1-F$6*(1+((1-phimax_pore)/phimax_pore^2)*($A82/100))*($A82/100))</f>
        <v>0.0360053576102181</v>
      </c>
      <c r="G82" s="9" t="n">
        <f aca="false">G$5*(1+A_pore*G$6*($A82/100))/(1-G$6*(1+((1-phimax_pore)/phimax_pore^2)*($A82/100))*($A82/100))</f>
        <v>0.0363893723321247</v>
      </c>
      <c r="H82" s="9" t="n">
        <f aca="false">H$5*(1+A_pore*H$6*($A82/100))/(1-H$6*(1+((1-phimax_pore)/phimax_pore^2)*($A82/100))*($A82/100))</f>
        <v>0.0367809798229487</v>
      </c>
      <c r="I82" s="9" t="n">
        <f aca="false">I$5*(1+A_pore*I$6*($A82/100))/(1-I$6*(1+((1-phimax_pore)/phimax_pore^2)*($A82/100))*($A82/100))</f>
        <v>0.0371824305624338</v>
      </c>
      <c r="J82" s="9" t="n">
        <f aca="false">J$5*(1+A_pore*J$6*($A82/100))/(1-J$6*(1+((1-phimax_pore)/phimax_pore^2)*($A82/100))*($A82/100))</f>
        <v>0.037596061577917</v>
      </c>
      <c r="K82" s="9" t="n">
        <f aca="false">K$5*(1+A_pore*K$6*($A82/100))/(1-K$6*(1+((1-phimax_pore)/phimax_pore^2)*($A82/100))*($A82/100))</f>
        <v>0.0380243501522394</v>
      </c>
      <c r="L82" s="9" t="n">
        <f aca="false">L$5*(1+A_pore*L$6*($A82/100))/(1-L$6*(1+((1-phimax_pore)/phimax_pore^2)*($A82/100))*($A82/100))</f>
        <v>0.0384699714106591</v>
      </c>
      <c r="M82" s="9" t="n">
        <f aca="false">M$5*(1+A_pore*M$6*($A82/100))/(1-M$6*(1+((1-phimax_pore)/phimax_pore^2)*($A82/100))*($A82/100))</f>
        <v>0.0389358626314186</v>
      </c>
      <c r="N82" s="9" t="n">
        <f aca="false">N$5*(1+A_pore*N$6*($A82/100))/(1-N$6*(1+((1-phimax_pore)/phimax_pore^2)*($A82/100))*($A82/100))</f>
        <v>0.0394252975534413</v>
      </c>
      <c r="O82" s="9" t="n">
        <f aca="false">O$5*(1+A_pore*O$6*($A82/100))/(1-O$6*(1+((1-phimax_pore)/phimax_pore^2)*($A82/100))*($A82/100))</f>
        <v>0.0399419746718986</v>
      </c>
      <c r="P82" s="9" t="n">
        <f aca="false">P$5*(1+A_pore*P$6*($A82/100))/(1-P$6*(1+((1-phimax_pore)/phimax_pore^2)*($A82/100))*($A82/100))</f>
        <v>0.0404901246016839</v>
      </c>
      <c r="Q82" s="9" t="n">
        <f aca="false">Q$5*(1+A_pore*Q$6*($A82/100))/(1-Q$6*(1+((1-phimax_pore)/phimax_pore^2)*($A82/100))*($A82/100))</f>
        <v>0.0410746431874814</v>
      </c>
      <c r="R82" s="9" t="n">
        <f aca="false">R$5*(1+A_pore*R$6*($A82/100))/(1-R$6*(1+((1-phimax_pore)/phimax_pore^2)*($A82/100))*($A82/100))</f>
        <v>0.041701259363967</v>
      </c>
      <c r="S82" s="9" t="n">
        <f aca="false">S$5*(1+A_pore*S$6*($A82/100))/(1-S$6*(1+((1-phimax_pore)/phimax_pore^2)*($A82/100))*($A82/100))</f>
        <v>0.0423767501606547</v>
      </c>
      <c r="T82" s="9" t="n">
        <f aca="false">T$5*(1+A_pore*T$6*($A82/100))/(1-T$6*(1+((1-phimax_pore)/phimax_pore^2)*($A82/100))*($A82/100))</f>
        <v>0.0431092202399773</v>
      </c>
      <c r="U82" s="9" t="n">
        <f aca="false">U$5*(1+A_pore*U$6*($A82/100))/(1-U$6*(1+((1-phimax_pore)/phimax_pore^2)*($A82/100))*($A82/100))</f>
        <v>0.0439084708151146</v>
      </c>
      <c r="V82" s="9" t="n">
        <f aca="false">V$5*(1+A_pore*V$6*($A82/100))/(1-V$6*(1+((1-phimax_pore)/phimax_pore^2)*($A82/100))*($A82/100))</f>
        <v>0.044786494122175</v>
      </c>
      <c r="W82" s="9" t="n">
        <f aca="false">W$5*(1+A_pore*W$6*($A82/100))/(1-W$6*(1+((1-phimax_pore)/phimax_pore^2)*($A82/100))*($A82/100))</f>
        <v>0.0457581471689831</v>
      </c>
      <c r="X82" s="9" t="n">
        <f aca="false">X$5*(1+A_pore*X$6*($A82/100))/(1-X$6*(1+((1-phimax_pore)/phimax_pore^2)*($A82/100))*($A82/100))</f>
        <v>0.0468420862750205</v>
      </c>
      <c r="Y82" s="9" t="n">
        <f aca="false">Y$5*(1+A_pore*Y$6*($A82/100))/(1-Y$6*(1+((1-phimax_pore)/phimax_pore^2)*($A82/100))*($A82/100))</f>
        <v>0.048062089047227</v>
      </c>
      <c r="Z82" s="9" t="n">
        <f aca="false">Z$5*(1+A_pore*Z$6*($A82/100))/(1-Z$6*(1+((1-phimax_pore)/phimax_pore^2)*($A82/100))*($A82/100))</f>
        <v>0.049448965805683</v>
      </c>
      <c r="AA82" s="9" t="n">
        <f aca="false">AA$5*(1+A_pore*AA$6*($A82/100))/(1-AA$6*(1+((1-phimax_pore)/phimax_pore^2)*($A82/100))*($A82/100))</f>
        <v>0.0510433923951083</v>
      </c>
      <c r="AB82" s="9" t="n">
        <f aca="false">AB$5*(1+A_pore*AB$6*($A82/100))/(1-AB$6*(1+((1-phimax_pore)/phimax_pore^2)*($A82/100))*($A82/100))</f>
        <v>0.0529002284929895</v>
      </c>
      <c r="AC82" s="9" t="n">
        <f aca="false">AC$5*(1+A_pore*AC$6*($A82/100))/(1-AC$6*(1+((1-phimax_pore)/phimax_pore^2)*($A82/100))*($A82/100))</f>
        <v>0.0550953179316698</v>
      </c>
      <c r="AD82" s="9" t="n">
        <f aca="false">AD$5*(1+A_pore*AD$6*($A82/100))/(1-AD$6*(1+((1-phimax_pore)/phimax_pore^2)*($A82/100))*($A82/100))</f>
        <v>0.0577366123864363</v>
      </c>
      <c r="AE82" s="9" t="n">
        <f aca="false">AE$5*(1+A_pore*AE$6*($A82/100))/(1-AE$6*(1+((1-phimax_pore)/phimax_pore^2)*($A82/100))*($A82/100))</f>
        <v>0.060983205929316</v>
      </c>
      <c r="AF82" s="9" t="n">
        <f aca="false">AF$5*(1+A_pore*AF$6*($A82/100))/(1-AF$6*(1+((1-phimax_pore)/phimax_pore^2)*($A82/100))*($A82/100))</f>
        <v>0.065079727488339</v>
      </c>
      <c r="AG82" s="9" t="n">
        <f aca="false">AG$5*(1+A_pore*AG$6*($A82/100))/(1-AG$6*(1+((1-phimax_pore)/phimax_pore^2)*($A82/100))*($A82/100))</f>
        <v>0.0704227948463337</v>
      </c>
      <c r="AH82" s="9" t="n">
        <f aca="false">AH$5*(1+A_pore*AH$6*($A82/100))/(1-AH$6*(1+((1-phimax_pore)/phimax_pore^2)*($A82/100))*($A82/100))</f>
        <v>0.0777008156667208</v>
      </c>
      <c r="AI82" s="9" t="n">
        <f aca="false">AI$5*(1+A_pore*AI$6*($A82/100))/(1-AI$6*(1+((1-phimax_pore)/phimax_pore^2)*($A82/100))*($A82/100))</f>
        <v>0.0882228749782598</v>
      </c>
      <c r="AJ82" s="9" t="n">
        <f aca="false">AJ$5*(1+A_pore*AJ$6*($A82/100))/(1-AJ$6*(1+((1-phimax_pore)/phimax_pore^2)*($A82/100))*($A82/100))</f>
        <v>0.104821916895236</v>
      </c>
      <c r="AK82" s="9" t="n">
        <f aca="false">AK$5*(1+A_pore*AK$6*($A82/100))/(1-AK$6*(1+((1-phimax_pore)/phimax_pore^2)*($A82/100))*($A82/100))</f>
        <v>0.134982435796735</v>
      </c>
    </row>
    <row r="83" customFormat="false" ht="15" hidden="false" customHeight="false" outlineLevel="0" collapsed="false">
      <c r="A83" s="4" t="n">
        <v>74</v>
      </c>
      <c r="B83" s="9" t="n">
        <f aca="false">B$5*(1+A_pore*B$6*($A83/100))/(1-B$6*(1+((1-phimax_pore)/phimax_pore^2)*($A83/100))*($A83/100))</f>
        <v>0.0341033953408534</v>
      </c>
      <c r="C83" s="9" t="n">
        <f aca="false">C$5*(1+A_pore*C$6*($A83/100))/(1-C$6*(1+((1-phimax_pore)/phimax_pore^2)*($A83/100))*($A83/100))</f>
        <v>0.0344604988468111</v>
      </c>
      <c r="D83" s="9" t="n">
        <f aca="false">D$5*(1+A_pore*D$6*($A83/100))/(1-D$6*(1+((1-phimax_pore)/phimax_pore^2)*($A83/100))*($A83/100))</f>
        <v>0.0348160663661634</v>
      </c>
      <c r="E83" s="9" t="n">
        <f aca="false">E$5*(1+A_pore*E$6*($A83/100))/(1-E$6*(1+((1-phimax_pore)/phimax_pore^2)*($A83/100))*($A83/100))</f>
        <v>0.0351724404323106</v>
      </c>
      <c r="F83" s="9" t="n">
        <f aca="false">F$5*(1+A_pore*F$6*($A83/100))/(1-F$6*(1+((1-phimax_pore)/phimax_pore^2)*($A83/100))*($A83/100))</f>
        <v>0.0355318242894209</v>
      </c>
      <c r="G83" s="9" t="n">
        <f aca="false">G$5*(1+A_pore*G$6*($A83/100))/(1-G$6*(1+((1-phimax_pore)/phimax_pore^2)*($A83/100))*($A83/100))</f>
        <v>0.0358963456714855</v>
      </c>
      <c r="H83" s="9" t="n">
        <f aca="false">H$5*(1+A_pore*H$6*($A83/100))/(1-H$6*(1+((1-phimax_pore)/phimax_pore^2)*($A83/100))*($A83/100))</f>
        <v>0.036268112723103</v>
      </c>
      <c r="I83" s="9" t="n">
        <f aca="false">I$5*(1+A_pore*I$6*($A83/100))/(1-I$6*(1+((1-phimax_pore)/phimax_pore^2)*($A83/100))*($A83/100))</f>
        <v>0.0366492655497899</v>
      </c>
      <c r="J83" s="9" t="n">
        <f aca="false">J$5*(1+A_pore*J$6*($A83/100))/(1-J$6*(1+((1-phimax_pore)/phimax_pore^2)*($A83/100))*($A83/100))</f>
        <v>0.0370420262885394</v>
      </c>
      <c r="K83" s="9" t="n">
        <f aca="false">K$5*(1+A_pore*K$6*($A83/100))/(1-K$6*(1+((1-phimax_pore)/phimax_pore^2)*($A83/100))*($A83/100))</f>
        <v>0.0374487502937172</v>
      </c>
      <c r="L83" s="9" t="n">
        <f aca="false">L$5*(1+A_pore*L$6*($A83/100))/(1-L$6*(1+((1-phimax_pore)/phimax_pore^2)*($A83/100))*($A83/100))</f>
        <v>0.0378719809815848</v>
      </c>
      <c r="M83" s="9" t="n">
        <f aca="false">M$5*(1+A_pore*M$6*($A83/100))/(1-M$6*(1+((1-phimax_pore)/phimax_pore^2)*($A83/100))*($A83/100))</f>
        <v>0.0383145110481828</v>
      </c>
      <c r="N83" s="9" t="n">
        <f aca="false">N$5*(1+A_pore*N$6*($A83/100))/(1-N$6*(1+((1-phimax_pore)/phimax_pore^2)*($A83/100))*($A83/100))</f>
        <v>0.0387794531803798</v>
      </c>
      <c r="O83" s="9" t="n">
        <f aca="false">O$5*(1+A_pore*O$6*($A83/100))/(1-O$6*(1+((1-phimax_pore)/phimax_pore^2)*($A83/100))*($A83/100))</f>
        <v>0.0392703240602062</v>
      </c>
      <c r="P83" s="9" t="n">
        <f aca="false">P$5*(1+A_pore*P$6*($A83/100))/(1-P$6*(1+((1-phimax_pore)/phimax_pore^2)*($A83/100))*($A83/100))</f>
        <v>0.0397911464973383</v>
      </c>
      <c r="Q83" s="9" t="n">
        <f aca="false">Q$5*(1+A_pore*Q$6*($A83/100))/(1-Q$6*(1+((1-phimax_pore)/phimax_pore^2)*($A83/100))*($A83/100))</f>
        <v>0.0403465760442174</v>
      </c>
      <c r="R83" s="9" t="n">
        <f aca="false">R$5*(1+A_pore*R$6*($A83/100))/(1-R$6*(1+((1-phimax_pore)/phimax_pore^2)*($A83/100))*($A83/100))</f>
        <v>0.040942060658868</v>
      </c>
      <c r="S83" s="9" t="n">
        <f aca="false">S$5*(1+A_pore*S$6*($A83/100))/(1-S$6*(1+((1-phimax_pore)/phimax_pore^2)*($A83/100))*($A83/100))</f>
        <v>0.0415840452052742</v>
      </c>
      <c r="T83" s="9" t="n">
        <f aca="false">T$5*(1+A_pore*T$6*($A83/100))/(1-T$6*(1+((1-phimax_pore)/phimax_pore^2)*($A83/100))*($A83/100))</f>
        <v>0.0422802373308425</v>
      </c>
      <c r="U83" s="9" t="n">
        <f aca="false">U$5*(1+A_pore*U$6*($A83/100))/(1-U$6*(1+((1-phimax_pore)/phimax_pore^2)*($A83/100))*($A83/100))</f>
        <v>0.0430399583536615</v>
      </c>
      <c r="V83" s="9" t="n">
        <f aca="false">V$5*(1+A_pore*V$6*($A83/100))/(1-V$6*(1+((1-phimax_pore)/phimax_pore^2)*($A83/100))*($A83/100))</f>
        <v>0.0438746135665257</v>
      </c>
      <c r="W83" s="9" t="n">
        <f aca="false">W$5*(1+A_pore*W$6*($A83/100))/(1-W$6*(1+((1-phimax_pore)/phimax_pore^2)*($A83/100))*($A83/100))</f>
        <v>0.0447983330545646</v>
      </c>
      <c r="X83" s="9" t="n">
        <f aca="false">X$5*(1+A_pore*X$6*($A83/100))/(1-X$6*(1+((1-phimax_pore)/phimax_pore^2)*($A83/100))*($A83/100))</f>
        <v>0.045828860557148</v>
      </c>
      <c r="Y83" s="9" t="n">
        <f aca="false">Y$5*(1+A_pore*Y$6*($A83/100))/(1-Y$6*(1+((1-phimax_pore)/phimax_pore^2)*($A83/100))*($A83/100))</f>
        <v>0.0469888108290596</v>
      </c>
      <c r="Z83" s="9" t="n">
        <f aca="false">Z$5*(1+A_pore*Z$6*($A83/100))/(1-Z$6*(1+((1-phimax_pore)/phimax_pore^2)*($A83/100))*($A83/100))</f>
        <v>0.0483074876414479</v>
      </c>
      <c r="AA83" s="9" t="n">
        <f aca="false">AA$5*(1+A_pore*AA$6*($A83/100))/(1-AA$6*(1+((1-phimax_pore)/phimax_pore^2)*($A83/100))*($A83/100))</f>
        <v>0.0498235781348893</v>
      </c>
      <c r="AB83" s="9" t="n">
        <f aca="false">AB$5*(1+A_pore*AB$6*($A83/100))/(1-AB$6*(1+((1-phimax_pore)/phimax_pore^2)*($A83/100))*($A83/100))</f>
        <v>0.0515892600639813</v>
      </c>
      <c r="AC83" s="9" t="n">
        <f aca="false">AC$5*(1+A_pore*AC$6*($A83/100))/(1-AC$6*(1+((1-phimax_pore)/phimax_pore^2)*($A83/100))*($A83/100))</f>
        <v>0.0536766697451022</v>
      </c>
      <c r="AD83" s="9" t="n">
        <f aca="false">AD$5*(1+A_pore*AD$6*($A83/100))/(1-AD$6*(1+((1-phimax_pore)/phimax_pore^2)*($A83/100))*($A83/100))</f>
        <v>0.0561884820615634</v>
      </c>
      <c r="AE83" s="9" t="n">
        <f aca="false">AE$5*(1+A_pore*AE$6*($A83/100))/(1-AE$6*(1+((1-phimax_pore)/phimax_pore^2)*($A83/100))*($A83/100))</f>
        <v>0.0592760146834053</v>
      </c>
      <c r="AF83" s="9" t="n">
        <f aca="false">AF$5*(1+A_pore*AF$6*($A83/100))/(1-AF$6*(1+((1-phimax_pore)/phimax_pore^2)*($A83/100))*($A83/100))</f>
        <v>0.0631719395604251</v>
      </c>
      <c r="AG83" s="9" t="n">
        <f aca="false">AG$5*(1+A_pore*AG$6*($A83/100))/(1-AG$6*(1+((1-phimax_pore)/phimax_pore^2)*($A83/100))*($A83/100))</f>
        <v>0.0682534889164306</v>
      </c>
      <c r="AH83" s="9" t="n">
        <f aca="false">AH$5*(1+A_pore*AH$6*($A83/100))/(1-AH$6*(1+((1-phimax_pore)/phimax_pore^2)*($A83/100))*($A83/100))</f>
        <v>0.0751754233645447</v>
      </c>
      <c r="AI83" s="9" t="n">
        <f aca="false">AI$5*(1+A_pore*AI$6*($A83/100))/(1-AI$6*(1+((1-phimax_pore)/phimax_pore^2)*($A83/100))*($A83/100))</f>
        <v>0.0851828447001903</v>
      </c>
      <c r="AJ83" s="9" t="n">
        <f aca="false">AJ$5*(1+A_pore*AJ$6*($A83/100))/(1-AJ$6*(1+((1-phimax_pore)/phimax_pore^2)*($A83/100))*($A83/100))</f>
        <v>0.100970233750113</v>
      </c>
      <c r="AK83" s="9" t="n">
        <f aca="false">AK$5*(1+A_pore*AK$6*($A83/100))/(1-AK$6*(1+((1-phimax_pore)/phimax_pore^2)*($A83/100))*($A83/100))</f>
        <v>0.129656272655313</v>
      </c>
    </row>
    <row r="84" customFormat="false" ht="15" hidden="false" customHeight="false" outlineLevel="0" collapsed="false">
      <c r="A84" s="4" t="n">
        <v>75</v>
      </c>
      <c r="B84" s="9" t="n">
        <f aca="false">B$5*(1+A_pore*B$6*($A84/100))/(1-B$6*(1+((1-phimax_pore)/phimax_pore^2)*($A84/100))*($A84/100))</f>
        <v>0.033713590928818</v>
      </c>
      <c r="C84" s="9" t="n">
        <f aca="false">C$5*(1+A_pore*C$6*($A84/100))/(1-C$6*(1+((1-phimax_pore)/phimax_pore^2)*($A84/100))*($A84/100))</f>
        <v>0.0340520045708098</v>
      </c>
      <c r="D84" s="9" t="n">
        <f aca="false">D$5*(1+A_pore*D$6*($A84/100))/(1-D$6*(1+((1-phimax_pore)/phimax_pore^2)*($A84/100))*($A84/100))</f>
        <v>0.0343889794641757</v>
      </c>
      <c r="E84" s="9" t="n">
        <f aca="false">E$5*(1+A_pore*E$6*($A84/100))/(1-E$6*(1+((1-phimax_pore)/phimax_pore^2)*($A84/100))*($A84/100))</f>
        <v>0.0347267431173099</v>
      </c>
      <c r="F84" s="9" t="n">
        <f aca="false">F$5*(1+A_pore*F$6*($A84/100))/(1-F$6*(1+((1-phimax_pore)/phimax_pore^2)*($A84/100))*($A84/100))</f>
        <v>0.0350673895021643</v>
      </c>
      <c r="G84" s="9" t="n">
        <f aca="false">G$5*(1+A_pore*G$6*($A84/100))/(1-G$6*(1+((1-phimax_pore)/phimax_pore^2)*($A84/100))*($A84/100))</f>
        <v>0.0354129400348367</v>
      </c>
      <c r="H84" s="9" t="n">
        <f aca="false">H$5*(1+A_pore*H$6*($A84/100))/(1-H$6*(1+((1-phimax_pore)/phimax_pore^2)*($A84/100))*($A84/100))</f>
        <v>0.0357653969664453</v>
      </c>
      <c r="I84" s="9" t="n">
        <f aca="false">I$5*(1+A_pore*I$6*($A84/100))/(1-I$6*(1+((1-phimax_pore)/phimax_pore^2)*($A84/100))*($A84/100))</f>
        <v>0.0361267925378439</v>
      </c>
      <c r="J84" s="9" t="n">
        <f aca="false">J$5*(1+A_pore*J$6*($A84/100))/(1-J$6*(1+((1-phimax_pore)/phimax_pore^2)*($A84/100))*($A84/100))</f>
        <v>0.0364992366707982</v>
      </c>
      <c r="K84" s="9" t="n">
        <f aca="false">K$5*(1+A_pore*K$6*($A84/100))/(1-K$6*(1+((1-phimax_pore)/phimax_pore^2)*($A84/100))*($A84/100))</f>
        <v>0.0368849656785614</v>
      </c>
      <c r="L84" s="9" t="n">
        <f aca="false">L$5*(1+A_pore*L$6*($A84/100))/(1-L$6*(1+((1-phimax_pore)/phimax_pore^2)*($A84/100))*($A84/100))</f>
        <v>0.0372863944237859</v>
      </c>
      <c r="M84" s="9" t="n">
        <f aca="false">M$5*(1+A_pore*M$6*($A84/100))/(1-M$6*(1+((1-phimax_pore)/phimax_pore^2)*($A84/100))*($A84/100))</f>
        <v>0.0377061745107224</v>
      </c>
      <c r="N84" s="9" t="n">
        <f aca="false">N$5*(1+A_pore*N$6*($A84/100))/(1-N$6*(1+((1-phimax_pore)/phimax_pore^2)*($A84/100))*($A84/100))</f>
        <v>0.0381472614808436</v>
      </c>
      <c r="O84" s="9" t="n">
        <f aca="false">O$5*(1+A_pore*O$6*($A84/100))/(1-O$6*(1+((1-phimax_pore)/phimax_pore^2)*($A84/100))*($A84/100))</f>
        <v>0.0386129946254907</v>
      </c>
      <c r="P84" s="9" t="n">
        <f aca="false">P$5*(1+A_pore*P$6*($A84/100))/(1-P$6*(1+((1-phimax_pore)/phimax_pore^2)*($A84/100))*($A84/100))</f>
        <v>0.0391071940108058</v>
      </c>
      <c r="Q84" s="9" t="n">
        <f aca="false">Q$5*(1+A_pore*Q$6*($A84/100))/(1-Q$6*(1+((1-phimax_pore)/phimax_pore^2)*($A84/100))*($A84/100))</f>
        <v>0.0396342807528099</v>
      </c>
      <c r="R84" s="9" t="n">
        <f aca="false">R$5*(1+A_pore*R$6*($A84/100))/(1-R$6*(1+((1-phimax_pore)/phimax_pore^2)*($A84/100))*($A84/100))</f>
        <v>0.0401994286796476</v>
      </c>
      <c r="S84" s="9" t="n">
        <f aca="false">S$5*(1+A_pore*S$6*($A84/100))/(1-S$6*(1+((1-phimax_pore)/phimax_pore^2)*($A84/100))*($A84/100))</f>
        <v>0.0408087585807116</v>
      </c>
      <c r="T84" s="9" t="n">
        <f aca="false">T$5*(1+A_pore*T$6*($A84/100))/(1-T$6*(1+((1-phimax_pore)/phimax_pore^2)*($A84/100))*($A84/100))</f>
        <v>0.0414695907535837</v>
      </c>
      <c r="U84" s="9" t="n">
        <f aca="false">U$5*(1+A_pore*U$6*($A84/100))/(1-U$6*(1+((1-phimax_pore)/phimax_pore^2)*($A84/100))*($A84/100))</f>
        <v>0.0421907782970459</v>
      </c>
      <c r="V84" s="9" t="n">
        <f aca="false">V$5*(1+A_pore*V$6*($A84/100))/(1-V$6*(1+((1-phimax_pore)/phimax_pore^2)*($A84/100))*($A84/100))</f>
        <v>0.0429831538322808</v>
      </c>
      <c r="W84" s="9" t="n">
        <f aca="false">W$5*(1+A_pore*W$6*($A84/100))/(1-W$6*(1+((1-phimax_pore)/phimax_pore^2)*($A84/100))*($A84/100))</f>
        <v>0.0438601381872946</v>
      </c>
      <c r="X84" s="9" t="n">
        <f aca="false">X$5*(1+A_pore*X$6*($A84/100))/(1-X$6*(1+((1-phimax_pore)/phimax_pore^2)*($A84/100))*($A84/100))</f>
        <v>0.0448385846879086</v>
      </c>
      <c r="Y84" s="9" t="n">
        <f aca="false">Y$5*(1+A_pore*Y$6*($A84/100))/(1-Y$6*(1+((1-phimax_pore)/phimax_pore^2)*($A84/100))*($A84/100))</f>
        <v>0.0459399734706353</v>
      </c>
      <c r="Z84" s="9" t="n">
        <f aca="false">Z$5*(1+A_pore*Z$6*($A84/100))/(1-Z$6*(1+((1-phimax_pore)/phimax_pore^2)*($A84/100))*($A84/100))</f>
        <v>0.0471921383237965</v>
      </c>
      <c r="AA84" s="9" t="n">
        <f aca="false">AA$5*(1+A_pore*AA$6*($A84/100))/(1-AA$6*(1+((1-phimax_pore)/phimax_pore^2)*($A84/100))*($A84/100))</f>
        <v>0.0486318259389375</v>
      </c>
      <c r="AB84" s="9" t="n">
        <f aca="false">AB$5*(1+A_pore*AB$6*($A84/100))/(1-AB$6*(1+((1-phimax_pore)/phimax_pore^2)*($A84/100))*($A84/100))</f>
        <v>0.0503085972090092</v>
      </c>
      <c r="AC84" s="9" t="n">
        <f aca="false">AC$5*(1+A_pore*AC$6*($A84/100))/(1-AC$6*(1+((1-phimax_pore)/phimax_pore^2)*($A84/100))*($A84/100))</f>
        <v>0.0522909708601087</v>
      </c>
      <c r="AD84" s="9" t="n">
        <f aca="false">AD$5*(1+A_pore*AD$6*($A84/100))/(1-AD$6*(1+((1-phimax_pore)/phimax_pore^2)*($A84/100))*($A84/100))</f>
        <v>0.0546764729551576</v>
      </c>
      <c r="AE84" s="9" t="n">
        <f aca="false">AE$5*(1+A_pore*AE$6*($A84/100))/(1-AE$6*(1+((1-phimax_pore)/phimax_pore^2)*($A84/100))*($A84/100))</f>
        <v>0.0576088333354458</v>
      </c>
      <c r="AF84" s="9" t="n">
        <f aca="false">AF$5*(1+A_pore*AF$6*($A84/100))/(1-AF$6*(1+((1-phimax_pore)/phimax_pore^2)*($A84/100))*($A84/100))</f>
        <v>0.0613090569020861</v>
      </c>
      <c r="AG84" s="9" t="n">
        <f aca="false">AG$5*(1+A_pore*AG$6*($A84/100))/(1-AG$6*(1+((1-phimax_pore)/phimax_pore^2)*($A84/100))*($A84/100))</f>
        <v>0.0661354603528762</v>
      </c>
      <c r="AH84" s="9" t="n">
        <f aca="false">AH$5*(1+A_pore*AH$6*($A84/100))/(1-AH$6*(1+((1-phimax_pore)/phimax_pore^2)*($A84/100))*($A84/100))</f>
        <v>0.0727099730494695</v>
      </c>
      <c r="AI84" s="9" t="n">
        <f aca="false">AI$5*(1+A_pore*AI$6*($A84/100))/(1-AI$6*(1+((1-phimax_pore)/phimax_pore^2)*($A84/100))*($A84/100))</f>
        <v>0.0822152648457661</v>
      </c>
      <c r="AJ84" s="9" t="n">
        <f aca="false">AJ$5*(1+A_pore*AJ$6*($A84/100))/(1-AJ$6*(1+((1-phimax_pore)/phimax_pore^2)*($A84/100))*($A84/100))</f>
        <v>0.0972107103235741</v>
      </c>
      <c r="AK84" s="9" t="n">
        <f aca="false">AK$5*(1+A_pore*AK$6*($A84/100))/(1-AK$6*(1+((1-phimax_pore)/phimax_pore^2)*($A84/100))*($A84/100))</f>
        <v>0.124458048449571</v>
      </c>
    </row>
    <row r="85" customFormat="false" ht="15" hidden="false" customHeight="false" outlineLevel="0" collapsed="false">
      <c r="A85" s="4" t="n">
        <v>76</v>
      </c>
      <c r="B85" s="9" t="n">
        <f aca="false">B$5*(1+A_pore*B$6*($A85/100))/(1-B$6*(1+((1-phimax_pore)/phimax_pore^2)*($A85/100))*($A85/100))</f>
        <v>0.0333306417442609</v>
      </c>
      <c r="C85" s="9" t="n">
        <f aca="false">C$5*(1+A_pore*C$6*($A85/100))/(1-C$6*(1+((1-phimax_pore)/phimax_pore^2)*($A85/100))*($A85/100))</f>
        <v>0.0336508615500539</v>
      </c>
      <c r="D85" s="9" t="n">
        <f aca="false">D$5*(1+A_pore*D$6*($A85/100))/(1-D$6*(1+((1-phimax_pore)/phimax_pore^2)*($A85/100))*($A85/100))</f>
        <v>0.0339697384460256</v>
      </c>
      <c r="E85" s="9" t="n">
        <f aca="false">E$5*(1+A_pore*E$6*($A85/100))/(1-E$6*(1+((1-phimax_pore)/phimax_pore^2)*($A85/100))*($A85/100))</f>
        <v>0.034289387044589</v>
      </c>
      <c r="F85" s="9" t="n">
        <f aca="false">F$5*(1+A_pore*F$6*($A85/100))/(1-F$6*(1+((1-phimax_pore)/phimax_pore^2)*($A85/100))*($A85/100))</f>
        <v>0.0346117942179007</v>
      </c>
      <c r="G85" s="9" t="n">
        <f aca="false">G$5*(1+A_pore*G$6*($A85/100))/(1-G$6*(1+((1-phimax_pore)/phimax_pore^2)*($A85/100))*($A85/100))</f>
        <v>0.0349388772975464</v>
      </c>
      <c r="H85" s="9" t="n">
        <f aca="false">H$5*(1+A_pore*H$6*($A85/100))/(1-H$6*(1+((1-phimax_pore)/phimax_pore^2)*($A85/100))*($A85/100))</f>
        <v>0.0352725349607202</v>
      </c>
      <c r="I85" s="9" t="n">
        <f aca="false">I$5*(1+A_pore*I$6*($A85/100))/(1-I$6*(1+((1-phimax_pore)/phimax_pore^2)*($A85/100))*($A85/100))</f>
        <v>0.0356146940211747</v>
      </c>
      <c r="J85" s="9" t="n">
        <f aca="false">J$5*(1+A_pore*J$6*($A85/100))/(1-J$6*(1+((1-phimax_pore)/phimax_pore^2)*($A85/100))*($A85/100))</f>
        <v>0.0359673547794032</v>
      </c>
      <c r="K85" s="9" t="n">
        <f aca="false">K$5*(1+A_pore*K$6*($A85/100))/(1-K$6*(1+((1-phimax_pore)/phimax_pore^2)*($A85/100))*($A85/100))</f>
        <v>0.0363326373035383</v>
      </c>
      <c r="L85" s="9" t="n">
        <f aca="false">L$5*(1+A_pore*L$6*($A85/100))/(1-L$6*(1+((1-phimax_pore)/phimax_pore^2)*($A85/100))*($A85/100))</f>
        <v>0.0367128309549319</v>
      </c>
      <c r="M85" s="9" t="n">
        <f aca="false">M$5*(1+A_pore*M$6*($A85/100))/(1-M$6*(1+((1-phimax_pore)/phimax_pore^2)*($A85/100))*($A85/100))</f>
        <v>0.0371104496196707</v>
      </c>
      <c r="N85" s="9" t="n">
        <f aca="false">N$5*(1+A_pore*N$6*($A85/100))/(1-N$6*(1+((1-phimax_pore)/phimax_pore^2)*($A85/100))*($A85/100))</f>
        <v>0.0375282954674136</v>
      </c>
      <c r="O85" s="9" t="n">
        <f aca="false">O$5*(1+A_pore*O$6*($A85/100))/(1-O$6*(1+((1-phimax_pore)/phimax_pore^2)*($A85/100))*($A85/100))</f>
        <v>0.0379695346685968</v>
      </c>
      <c r="P85" s="9" t="n">
        <f aca="false">P$5*(1+A_pore*P$6*($A85/100))/(1-P$6*(1+((1-phimax_pore)/phimax_pore^2)*($A85/100))*($A85/100))</f>
        <v>0.038437789431049</v>
      </c>
      <c r="Q85" s="9" t="n">
        <f aca="false">Q$5*(1+A_pore*Q$6*($A85/100))/(1-Q$6*(1+((1-phimax_pore)/phimax_pore^2)*($A85/100))*($A85/100))</f>
        <v>0.0389372520845732</v>
      </c>
      <c r="R85" s="9" t="n">
        <f aca="false">R$5*(1+A_pore*R$6*($A85/100))/(1-R$6*(1+((1-phimax_pore)/phimax_pore^2)*($A85/100))*($A85/100))</f>
        <v>0.0394728289325343</v>
      </c>
      <c r="S85" s="9" t="n">
        <f aca="false">S$5*(1+A_pore*S$6*($A85/100))/(1-S$6*(1+((1-phimax_pore)/phimax_pore^2)*($A85/100))*($A85/100))</f>
        <v>0.0400503244940168</v>
      </c>
      <c r="T85" s="9" t="n">
        <f aca="false">T$5*(1+A_pore*T$6*($A85/100))/(1-T$6*(1+((1-phimax_pore)/phimax_pore^2)*($A85/100))*($A85/100))</f>
        <v>0.0406766810386433</v>
      </c>
      <c r="U85" s="9" t="n">
        <f aca="false">U$5*(1+A_pore*U$6*($A85/100))/(1-U$6*(1+((1-phimax_pore)/phimax_pore^2)*($A85/100))*($A85/100))</f>
        <v>0.0413602947061484</v>
      </c>
      <c r="V85" s="9" t="n">
        <f aca="false">V$5*(1+A_pore*V$6*($A85/100))/(1-V$6*(1+((1-phimax_pore)/phimax_pore^2)*($A85/100))*($A85/100))</f>
        <v>0.0421114392092481</v>
      </c>
      <c r="W85" s="9" t="n">
        <f aca="false">W$5*(1+A_pore*W$6*($A85/100))/(1-W$6*(1+((1-phimax_pore)/phimax_pore^2)*($A85/100))*($A85/100))</f>
        <v>0.0429428431543616</v>
      </c>
      <c r="X85" s="9" t="n">
        <f aca="false">X$5*(1+A_pore*X$6*($A85/100))/(1-X$6*(1+((1-phimax_pore)/phimax_pore^2)*($A85/100))*($A85/100))</f>
        <v>0.0438704908293147</v>
      </c>
      <c r="Y85" s="9" t="n">
        <f aca="false">Y$5*(1+A_pore*Y$6*($A85/100))/(1-Y$6*(1+((1-phimax_pore)/phimax_pore^2)*($A85/100))*($A85/100))</f>
        <v>0.0449147549783435</v>
      </c>
      <c r="Z85" s="9" t="n">
        <f aca="false">Z$5*(1+A_pore*Z$6*($A85/100))/(1-Z$6*(1+((1-phimax_pore)/phimax_pore^2)*($A85/100))*($A85/100))</f>
        <v>0.0461020346674204</v>
      </c>
      <c r="AA85" s="9" t="n">
        <f aca="false">AA$5*(1+A_pore*AA$6*($A85/100))/(1-AA$6*(1+((1-phimax_pore)/phimax_pore^2)*($A85/100))*($A85/100))</f>
        <v>0.047467182670948</v>
      </c>
      <c r="AB85" s="9" t="n">
        <f aca="false">AB$5*(1+A_pore*AB$6*($A85/100))/(1-AB$6*(1+((1-phimax_pore)/phimax_pore^2)*($A85/100))*($A85/100))</f>
        <v>0.0490572057579244</v>
      </c>
      <c r="AC85" s="9" t="n">
        <f aca="false">AC$5*(1+A_pore*AC$6*($A85/100))/(1-AC$6*(1+((1-phimax_pore)/phimax_pore^2)*($A85/100))*($A85/100))</f>
        <v>0.0509370917782002</v>
      </c>
      <c r="AD85" s="9" t="n">
        <f aca="false">AD$5*(1+A_pore*AD$6*($A85/100))/(1-AD$6*(1+((1-phimax_pore)/phimax_pore^2)*($A85/100))*($A85/100))</f>
        <v>0.0531993413754069</v>
      </c>
      <c r="AE85" s="9" t="n">
        <f aca="false">AE$5*(1+A_pore*AE$6*($A85/100))/(1-AE$6*(1+((1-phimax_pore)/phimax_pore^2)*($A85/100))*($A85/100))</f>
        <v>0.0559802784004625</v>
      </c>
      <c r="AF85" s="9" t="n">
        <f aca="false">AF$5*(1+A_pore*AF$6*($A85/100))/(1-AF$6*(1+((1-phimax_pore)/phimax_pore^2)*($A85/100))*($A85/100))</f>
        <v>0.059489520280641</v>
      </c>
      <c r="AG85" s="9" t="n">
        <f aca="false">AG$5*(1+A_pore*AG$6*($A85/100))/(1-AG$6*(1+((1-phimax_pore)/phimax_pore^2)*($A85/100))*($A85/100))</f>
        <v>0.0640669214338725</v>
      </c>
      <c r="AH85" s="9" t="n">
        <f aca="false">AH$5*(1+A_pore*AH$6*($A85/100))/(1-AH$6*(1+((1-phimax_pore)/phimax_pore^2)*($A85/100))*($A85/100))</f>
        <v>0.0703023666337821</v>
      </c>
      <c r="AI85" s="9" t="n">
        <f aca="false">AI$5*(1+A_pore*AI$6*($A85/100))/(1-AI$6*(1+((1-phimax_pore)/phimax_pore^2)*($A85/100))*($A85/100))</f>
        <v>0.079317589682191</v>
      </c>
      <c r="AJ85" s="9" t="n">
        <f aca="false">AJ$5*(1+A_pore*AJ$6*($A85/100))/(1-AJ$6*(1+((1-phimax_pore)/phimax_pore^2)*($A85/100))*($A85/100))</f>
        <v>0.0935400960667128</v>
      </c>
      <c r="AK85" s="9" t="n">
        <f aca="false">AK$5*(1+A_pore*AK$6*($A85/100))/(1-AK$6*(1+((1-phimax_pore)/phimax_pore^2)*($A85/100))*($A85/100))</f>
        <v>0.119383233898726</v>
      </c>
    </row>
    <row r="86" customFormat="false" ht="15" hidden="false" customHeight="false" outlineLevel="0" collapsed="false">
      <c r="A86" s="4" t="n">
        <v>77</v>
      </c>
      <c r="B86" s="9" t="n">
        <f aca="false">B$5*(1+A_pore*B$6*($A86/100))/(1-B$6*(1+((1-phimax_pore)/phimax_pore^2)*($A86/100))*($A86/100))</f>
        <v>0.0329543689806243</v>
      </c>
      <c r="C86" s="9" t="n">
        <f aca="false">C$5*(1+A_pore*C$6*($A86/100))/(1-C$6*(1+((1-phimax_pore)/phimax_pore^2)*($A86/100))*($A86/100))</f>
        <v>0.03325687362372</v>
      </c>
      <c r="D86" s="9" t="n">
        <f aca="false">D$5*(1+A_pore*D$6*($A86/100))/(1-D$6*(1+((1-phimax_pore)/phimax_pore^2)*($A86/100))*($A86/100))</f>
        <v>0.033558129644645</v>
      </c>
      <c r="E86" s="9" t="n">
        <f aca="false">E$5*(1+A_pore*E$6*($A86/100))/(1-E$6*(1+((1-phimax_pore)/phimax_pore^2)*($A86/100))*($A86/100))</f>
        <v>0.0338601408523275</v>
      </c>
      <c r="F86" s="9" t="n">
        <f aca="false">F$5*(1+A_pore*F$6*($A86/100))/(1-F$6*(1+((1-phimax_pore)/phimax_pore^2)*($A86/100))*($A86/100))</f>
        <v>0.0341647891459907</v>
      </c>
      <c r="G86" s="9" t="n">
        <f aca="false">G$5*(1+A_pore*G$6*($A86/100))/(1-G$6*(1+((1-phimax_pore)/phimax_pore^2)*($A86/100))*($A86/100))</f>
        <v>0.0344738899524012</v>
      </c>
      <c r="H86" s="9" t="n">
        <f aca="false">H$5*(1+A_pore*H$6*($A86/100))/(1-H$6*(1+((1-phimax_pore)/phimax_pore^2)*($A86/100))*($A86/100))</f>
        <v>0.0347892406328777</v>
      </c>
      <c r="I86" s="9" t="n">
        <f aca="false">I$5*(1+A_pore*I$6*($A86/100))/(1-I$6*(1+((1-phimax_pore)/phimax_pore^2)*($A86/100))*($A86/100))</f>
        <v>0.0351126649421296</v>
      </c>
      <c r="J86" s="9" t="n">
        <f aca="false">J$5*(1+A_pore*J$6*($A86/100))/(1-J$6*(1+((1-phimax_pore)/phimax_pore^2)*($A86/100))*($A86/100))</f>
        <v>0.0354460560752269</v>
      </c>
      <c r="K86" s="9" t="n">
        <f aca="false">K$5*(1+A_pore*K$6*($A86/100))/(1-K$6*(1+((1-phimax_pore)/phimax_pore^2)*($A86/100))*($A86/100))</f>
        <v>0.0357914205634474</v>
      </c>
      <c r="L86" s="9" t="n">
        <f aca="false">L$5*(1+A_pore*L$6*($A86/100))/(1-L$6*(1+((1-phimax_pore)/phimax_pore^2)*($A86/100))*($A86/100))</f>
        <v>0.0361509252203604</v>
      </c>
      <c r="M86" s="9" t="n">
        <f aca="false">M$5*(1+A_pore*M$6*($A86/100))/(1-M$6*(1+((1-phimax_pore)/phimax_pore^2)*($A86/100))*($A86/100))</f>
        <v>0.0365269494757419</v>
      </c>
      <c r="N86" s="9" t="n">
        <f aca="false">N$5*(1+A_pore*N$6*($A86/100))/(1-N$6*(1+((1-phimax_pore)/phimax_pore^2)*($A86/100))*($A86/100))</f>
        <v>0.0369221457737895</v>
      </c>
      <c r="O86" s="9" t="n">
        <f aca="false">O$5*(1+A_pore*O$6*($A86/100))/(1-O$6*(1+((1-phimax_pore)/phimax_pore^2)*($A86/100))*($A86/100))</f>
        <v>0.0373395112879782</v>
      </c>
      <c r="P86" s="9" t="n">
        <f aca="false">P$5*(1+A_pore*P$6*($A86/100))/(1-P$6*(1+((1-phimax_pore)/phimax_pore^2)*($A86/100))*($A86/100))</f>
        <v>0.0377824750845802</v>
      </c>
      <c r="Q86" s="9" t="n">
        <f aca="false">Q$5*(1+A_pore*Q$6*($A86/100))/(1-Q$6*(1+((1-phimax_pore)/phimax_pore^2)*($A86/100))*($A86/100))</f>
        <v>0.0382550061611744</v>
      </c>
      <c r="R86" s="9" t="n">
        <f aca="false">R$5*(1+A_pore*R$6*($A86/100))/(1-R$6*(1+((1-phimax_pore)/phimax_pore^2)*($A86/100))*($A86/100))</f>
        <v>0.0387617496709204</v>
      </c>
      <c r="S86" s="9" t="n">
        <f aca="false">S$5*(1+A_pore*S$6*($A86/100))/(1-S$6*(1+((1-phimax_pore)/phimax_pore^2)*($A86/100))*($A86/100))</f>
        <v>0.039308201393517</v>
      </c>
      <c r="T86" s="9" t="n">
        <f aca="false">T$5*(1+A_pore*T$6*($A86/100))/(1-T$6*(1+((1-phimax_pore)/phimax_pore^2)*($A86/100))*($A86/100))</f>
        <v>0.0399009345651458</v>
      </c>
      <c r="U86" s="9" t="n">
        <f aca="false">U$5*(1+A_pore*U$6*($A86/100))/(1-U$6*(1+((1-phimax_pore)/phimax_pore^2)*($A86/100))*($A86/100))</f>
        <v>0.0405478992306378</v>
      </c>
      <c r="V86" s="9" t="n">
        <f aca="false">V$5*(1+A_pore*V$6*($A86/100))/(1-V$6*(1+((1-phimax_pore)/phimax_pore^2)*($A86/100))*($A86/100))</f>
        <v>0.0412588234726386</v>
      </c>
      <c r="W86" s="9" t="n">
        <f aca="false">W$5*(1+A_pore*W$6*($A86/100))/(1-W$6*(1+((1-phimax_pore)/phimax_pore^2)*($A86/100))*($A86/100))</f>
        <v>0.0420457601110245</v>
      </c>
      <c r="X86" s="9" t="n">
        <f aca="false">X$5*(1+A_pore*X$6*($A86/100))/(1-X$6*(1+((1-phimax_pore)/phimax_pore^2)*($A86/100))*($A86/100))</f>
        <v>0.0429238450173</v>
      </c>
      <c r="Y86" s="9" t="n">
        <f aca="false">Y$5*(1+A_pore*Y$6*($A86/100))/(1-Y$6*(1+((1-phimax_pore)/phimax_pore^2)*($A86/100))*($A86/100))</f>
        <v>0.0439123698088821</v>
      </c>
      <c r="Z86" s="9" t="n">
        <f aca="false">Z$5*(1+A_pore*Z$6*($A86/100))/(1-Z$6*(1+((1-phimax_pore)/phimax_pore^2)*($A86/100))*($A86/100))</f>
        <v>0.0450363328456176</v>
      </c>
      <c r="AA86" s="9" t="n">
        <f aca="false">AA$5*(1+A_pore*AA$6*($A86/100))/(1-AA$6*(1+((1-phimax_pore)/phimax_pore^2)*($A86/100))*($A86/100))</f>
        <v>0.0463287378744657</v>
      </c>
      <c r="AB86" s="9" t="n">
        <f aca="false">AB$5*(1+A_pore*AB$6*($A86/100))/(1-AB$6*(1+((1-phimax_pore)/phimax_pore^2)*($A86/100))*($A86/100))</f>
        <v>0.0478340980639087</v>
      </c>
      <c r="AC86" s="9" t="n">
        <f aca="false">AC$5*(1+A_pore*AC$6*($A86/100))/(1-AC$6*(1+((1-phimax_pore)/phimax_pore^2)*($A86/100))*($A86/100))</f>
        <v>0.0496139540410296</v>
      </c>
      <c r="AD86" s="9" t="n">
        <f aca="false">AD$5*(1+A_pore*AD$6*($A86/100))/(1-AD$6*(1+((1-phimax_pore)/phimax_pore^2)*($A86/100))*($A86/100))</f>
        <v>0.05175590007582</v>
      </c>
      <c r="AE86" s="9" t="n">
        <f aca="false">AE$5*(1+A_pore*AE$6*($A86/100))/(1-AE$6*(1+((1-phimax_pore)/phimax_pore^2)*($A86/100))*($A86/100))</f>
        <v>0.0543890294492396</v>
      </c>
      <c r="AF86" s="9" t="n">
        <f aca="false">AF$5*(1+A_pore*AF$6*($A86/100))/(1-AF$6*(1+((1-phimax_pore)/phimax_pore^2)*($A86/100))*($A86/100))</f>
        <v>0.0577118418220952</v>
      </c>
      <c r="AG86" s="9" t="n">
        <f aca="false">AG$5*(1+A_pore*AG$6*($A86/100))/(1-AG$6*(1+((1-phimax_pore)/phimax_pore^2)*($A86/100))*($A86/100))</f>
        <v>0.062046166581626</v>
      </c>
      <c r="AH86" s="9" t="n">
        <f aca="false">AH$5*(1+A_pore*AH$6*($A86/100))/(1-AH$6*(1+((1-phimax_pore)/phimax_pore^2)*($A86/100))*($A86/100))</f>
        <v>0.0679506028124527</v>
      </c>
      <c r="AI86" s="9" t="n">
        <f aca="false">AI$5*(1+A_pore*AI$6*($A86/100))/(1-AI$6*(1+((1-phimax_pore)/phimax_pore^2)*($A86/100))*($A86/100))</f>
        <v>0.076487391358365</v>
      </c>
      <c r="AJ86" s="9" t="n">
        <f aca="false">AJ$5*(1+A_pore*AJ$6*($A86/100))/(1-AJ$6*(1+((1-phimax_pore)/phimax_pore^2)*($A86/100))*($A86/100))</f>
        <v>0.0899552915132106</v>
      </c>
      <c r="AK86" s="9" t="n">
        <f aca="false">AK$5*(1+A_pore*AK$6*($A86/100))/(1-AK$6*(1+((1-phimax_pore)/phimax_pore^2)*($A86/100))*($A86/100))</f>
        <v>0.114427511011862</v>
      </c>
    </row>
    <row r="87" customFormat="false" ht="15" hidden="false" customHeight="false" outlineLevel="0" collapsed="false">
      <c r="A87" s="4" t="n">
        <v>78</v>
      </c>
      <c r="B87" s="9" t="n">
        <f aca="false">B$5*(1+A_pore*B$6*($A87/100))/(1-B$6*(1+((1-phimax_pore)/phimax_pore^2)*($A87/100))*($A87/100))</f>
        <v>0.0325845999960419</v>
      </c>
      <c r="C87" s="9" t="n">
        <f aca="false">C$5*(1+A_pore*C$6*($A87/100))/(1-C$6*(1+((1-phimax_pore)/phimax_pore^2)*($A87/100))*($A87/100))</f>
        <v>0.0328698515483904</v>
      </c>
      <c r="D87" s="9" t="n">
        <f aca="false">D$5*(1+A_pore*D$6*($A87/100))/(1-D$6*(1+((1-phimax_pore)/phimax_pore^2)*($A87/100))*($A87/100))</f>
        <v>0.0331539470813436</v>
      </c>
      <c r="E87" s="9" t="n">
        <f aca="false">E$5*(1+A_pore*E$6*($A87/100))/(1-E$6*(1+((1-phimax_pore)/phimax_pore^2)*($A87/100))*($A87/100))</f>
        <v>0.0334387816564765</v>
      </c>
      <c r="F87" s="9" t="n">
        <f aca="false">F$5*(1+A_pore*F$6*($A87/100))/(1-F$6*(1+((1-phimax_pore)/phimax_pore^2)*($A87/100))*($A87/100))</f>
        <v>0.0337261342821741</v>
      </c>
      <c r="G87" s="9" t="n">
        <f aca="false">G$5*(1+A_pore*G$6*($A87/100))/(1-G$6*(1+((1-phimax_pore)/phimax_pore^2)*($A87/100))*($A87/100))</f>
        <v>0.0340177206077457</v>
      </c>
      <c r="H87" s="9" t="n">
        <f aca="false">H$5*(1+A_pore*H$6*($A87/100))/(1-H$6*(1+((1-phimax_pore)/phimax_pore^2)*($A87/100))*($A87/100))</f>
        <v>0.0343152388770584</v>
      </c>
      <c r="I87" s="9" t="n">
        <f aca="false">I$5*(1+A_pore*I$6*($A87/100))/(1-I$6*(1+((1-phimax_pore)/phimax_pore^2)*($A87/100))*($A87/100))</f>
        <v>0.0346204120867284</v>
      </c>
      <c r="J87" s="9" t="n">
        <f aca="false">J$5*(1+A_pore*J$6*($A87/100))/(1-J$6*(1+((1-phimax_pore)/phimax_pore^2)*($A87/100))*($A87/100))</f>
        <v>0.0349350287670608</v>
      </c>
      <c r="K87" s="9" t="n">
        <f aca="false">K$5*(1+A_pore*K$6*($A87/100))/(1-K$6*(1+((1-phimax_pore)/phimax_pore^2)*($A87/100))*($A87/100))</f>
        <v>0.0352609845364848</v>
      </c>
      <c r="L87" s="9" t="n">
        <f aca="false">L$5*(1+A_pore*L$6*($A87/100))/(1-L$6*(1+((1-phimax_pore)/phimax_pore^2)*($A87/100))*($A87/100))</f>
        <v>0.0356003265195836</v>
      </c>
      <c r="M87" s="9" t="n">
        <f aca="false">M$5*(1+A_pore*M$6*($A87/100))/(1-M$6*(1+((1-phimax_pore)/phimax_pore^2)*($A87/100))*($A87/100))</f>
        <v>0.0359553028446506</v>
      </c>
      <c r="N87" s="9" t="n">
        <f aca="false">N$5*(1+A_pore*N$6*($A87/100))/(1-N$6*(1+((1-phimax_pore)/phimax_pore^2)*($A87/100))*($A87/100))</f>
        <v>0.0363284197550766</v>
      </c>
      <c r="O87" s="9" t="n">
        <f aca="false">O$5*(1+A_pore*O$6*($A87/100))/(1-O$6*(1+((1-phimax_pore)/phimax_pore^2)*($A87/100))*($A87/100))</f>
        <v>0.0367225094119311</v>
      </c>
      <c r="P87" s="9" t="n">
        <f aca="false">P$5*(1+A_pore*P$6*($A87/100))/(1-P$6*(1+((1-phimax_pore)/phimax_pore^2)*($A87/100))*($A87/100))</f>
        <v>0.0371408122957724</v>
      </c>
      <c r="Q87" s="9" t="n">
        <f aca="false">Q$5*(1+A_pore*Q$6*($A87/100))/(1-Q$6*(1+((1-phimax_pore)/phimax_pore^2)*($A87/100))*($A87/100))</f>
        <v>0.0375870793386236</v>
      </c>
      <c r="R87" s="9" t="n">
        <f aca="false">R$5*(1+A_pore*R$6*($A87/100))/(1-R$6*(1+((1-phimax_pore)/phimax_pore^2)*($A87/100))*($A87/100))</f>
        <v>0.0380657006979999</v>
      </c>
      <c r="S87" s="9" t="n">
        <f aca="false">S$5*(1+A_pore*S$6*($A87/100))/(1-S$6*(1+((1-phimax_pore)/phimax_pore^2)*($A87/100))*($A87/100))</f>
        <v>0.0385818706843102</v>
      </c>
      <c r="T87" s="9" t="n">
        <f aca="false">T$5*(1+A_pore*T$6*($A87/100))/(1-T$6*(1+((1-phimax_pore)/phimax_pore^2)*($A87/100))*($A87/100))</f>
        <v>0.0391418021825366</v>
      </c>
      <c r="U87" s="9" t="n">
        <f aca="false">U$5*(1+A_pore*U$6*($A87/100))/(1-U$6*(1+((1-phimax_pore)/phimax_pore^2)*($A87/100))*($A87/100))</f>
        <v>0.0397530096289266</v>
      </c>
      <c r="V87" s="9" t="n">
        <f aca="false">V$5*(1+A_pore*V$6*($A87/100))/(1-V$6*(1+((1-phimax_pore)/phimax_pore^2)*($A87/100))*($A87/100))</f>
        <v>0.0404246882921355</v>
      </c>
      <c r="W87" s="9" t="n">
        <f aca="false">W$5*(1+A_pore*W$6*($A87/100))/(1-W$6*(1+((1-phimax_pore)/phimax_pore^2)*($A87/100))*($A87/100))</f>
        <v>0.0411682310678797</v>
      </c>
      <c r="X87" s="9" t="n">
        <f aca="false">X$5*(1+A_pore*X$6*($A87/100))/(1-X$6*(1+((1-phimax_pore)/phimax_pore^2)*($A87/100))*($A87/100))</f>
        <v>0.0419979453141209</v>
      </c>
      <c r="Y87" s="9" t="n">
        <f aca="false">Y$5*(1+A_pore*Y$6*($A87/100))/(1-Y$6*(1+((1-phimax_pore)/phimax_pore^2)*($A87/100))*($A87/100))</f>
        <v>0.0429320668709803</v>
      </c>
      <c r="Z87" s="9" t="n">
        <f aca="false">Z$5*(1+A_pore*Z$6*($A87/100))/(1-Z$6*(1+((1-phimax_pore)/phimax_pore^2)*($A87/100))*($A87/100))</f>
        <v>0.0439942262219606</v>
      </c>
      <c r="AA87" s="9" t="n">
        <f aca="false">AA$5*(1+A_pore*AA$6*($A87/100))/(1-AA$6*(1+((1-phimax_pore)/phimax_pore^2)*($A87/100))*($A87/100))</f>
        <v>0.045215621410417</v>
      </c>
      <c r="AB87" s="9" t="n">
        <f aca="false">AB$5*(1+A_pore*AB$6*($A87/100))/(1-AB$6*(1+((1-phimax_pore)/phimax_pore^2)*($A87/100))*($A87/100))</f>
        <v>0.0466383304164394</v>
      </c>
      <c r="AC87" s="9" t="n">
        <f aca="false">AC$5*(1+A_pore*AC$6*($A87/100))/(1-AC$6*(1+((1-phimax_pore)/phimax_pore^2)*($A87/100))*($A87/100))</f>
        <v>0.048320527379575</v>
      </c>
      <c r="AD87" s="9" t="n">
        <f aca="false">AD$5*(1+A_pore*AD$6*($A87/100))/(1-AD$6*(1+((1-phimax_pore)/phimax_pore^2)*($A87/100))*($A87/100))</f>
        <v>0.0503450150889191</v>
      </c>
      <c r="AE87" s="9" t="n">
        <f aca="false">AE$5*(1+A_pore*AE$6*($A87/100))/(1-AE$6*(1+((1-phimax_pore)/phimax_pore^2)*($A87/100))*($A87/100))</f>
        <v>0.0528338255563906</v>
      </c>
      <c r="AF87" s="9" t="n">
        <f aca="false">AF$5*(1+A_pore*AF$6*($A87/100))/(1-AF$6*(1+((1-phimax_pore)/phimax_pore^2)*($A87/100))*($A87/100))</f>
        <v>0.0559746009751335</v>
      </c>
      <c r="AG87" s="9" t="n">
        <f aca="false">AG$5*(1+A_pore*AG$6*($A87/100))/(1-AG$6*(1+((1-phimax_pore)/phimax_pore^2)*($A87/100))*($A87/100))</f>
        <v>0.0600715676978894</v>
      </c>
      <c r="AH87" s="9" t="n">
        <f aca="false">AH$5*(1+A_pore*AH$6*($A87/100))/(1-AH$6*(1+((1-phimax_pore)/phimax_pore^2)*($A87/100))*($A87/100))</f>
        <v>0.0656527715461505</v>
      </c>
      <c r="AI87" s="9" t="n">
        <f aca="false">AI$5*(1+A_pore*AI$6*($A87/100))/(1-AI$6*(1+((1-phimax_pore)/phimax_pore^2)*($A87/100))*($A87/100))</f>
        <v>0.0737223531597425</v>
      </c>
      <c r="AJ87" s="9" t="n">
        <f aca="false">AJ$5*(1+A_pore*AJ$6*($A87/100))/(1-AJ$6*(1+((1-phimax_pore)/phimax_pore^2)*($A87/100))*($A87/100))</f>
        <v>0.086453339602435</v>
      </c>
      <c r="AK87" s="9" t="n">
        <f aca="false">AK$5*(1+A_pore*AK$6*($A87/100))/(1-AK$6*(1+((1-phimax_pore)/phimax_pore^2)*($A87/100))*($A87/100))</f>
        <v>0.109586760909183</v>
      </c>
    </row>
    <row r="88" customFormat="false" ht="15" hidden="false" customHeight="false" outlineLevel="0" collapsed="false">
      <c r="A88" s="4" t="n">
        <v>79</v>
      </c>
      <c r="B88" s="9" t="n">
        <f aca="false">B$5*(1+A_pore*B$6*($A88/100))/(1-B$6*(1+((1-phimax_pore)/phimax_pore^2)*($A88/100))*($A88/100))</f>
        <v>0.0322211680499359</v>
      </c>
      <c r="C88" s="9" t="n">
        <f aca="false">C$5*(1+A_pore*C$6*($A88/100))/(1-C$6*(1+((1-phimax_pore)/phimax_pore^2)*($A88/100))*($A88/100))</f>
        <v>0.0324896126957986</v>
      </c>
      <c r="D88" s="9" t="n">
        <f aca="false">D$5*(1+A_pore*D$6*($A88/100))/(1-D$6*(1+((1-phimax_pore)/phimax_pore^2)*($A88/100))*($A88/100))</f>
        <v>0.0327569921230788</v>
      </c>
      <c r="E88" s="9" t="n">
        <f aca="false">E$5*(1+A_pore*E$6*($A88/100))/(1-E$6*(1+((1-phimax_pore)/phimax_pore^2)*($A88/100))*($A88/100))</f>
        <v>0.0330250946659705</v>
      </c>
      <c r="F88" s="9" t="n">
        <f aca="false">F$5*(1+A_pore*F$6*($A88/100))/(1-F$6*(1+((1-phimax_pore)/phimax_pore^2)*($A88/100))*($A88/100))</f>
        <v>0.0332955984801486</v>
      </c>
      <c r="G88" s="9" t="n">
        <f aca="false">G$5*(1+A_pore*G$6*($A88/100))/(1-G$6*(1+((1-phimax_pore)/phimax_pore^2)*($A88/100))*($A88/100))</f>
        <v>0.0335701215138213</v>
      </c>
      <c r="H88" s="9" t="n">
        <f aca="false">H$5*(1+A_pore*H$6*($A88/100))/(1-H$6*(1+((1-phimax_pore)/phimax_pore^2)*($A88/100))*($A88/100))</f>
        <v>0.0338502650340213</v>
      </c>
      <c r="I88" s="9" t="n">
        <f aca="false">I$5*(1+A_pore*I$6*($A88/100))/(1-I$6*(1+((1-phimax_pore)/phimax_pore^2)*($A88/100))*($A88/100))</f>
        <v>0.0341376535154096</v>
      </c>
      <c r="J88" s="9" t="n">
        <f aca="false">J$5*(1+A_pore*J$6*($A88/100))/(1-J$6*(1+((1-phimax_pore)/phimax_pore^2)*($A88/100))*($A88/100))</f>
        <v>0.0344339731917787</v>
      </c>
      <c r="K88" s="9" t="n">
        <f aca="false">K$5*(1+A_pore*K$6*($A88/100))/(1-K$6*(1+((1-phimax_pore)/phimax_pore^2)*($A88/100))*($A88/100))</f>
        <v>0.0347410113117532</v>
      </c>
      <c r="L88" s="9" t="n">
        <f aca="false">L$5*(1+A_pore*L$6*($A88/100))/(1-L$6*(1+((1-phimax_pore)/phimax_pore^2)*($A88/100))*($A88/100))</f>
        <v>0.0350606980788687</v>
      </c>
      <c r="M88" s="9" t="n">
        <f aca="false">M$5*(1+A_pore*M$6*($A88/100))/(1-M$6*(1+((1-phimax_pore)/phimax_pore^2)*($A88/100))*($A88/100))</f>
        <v>0.0353951533722395</v>
      </c>
      <c r="N88" s="9" t="n">
        <f aca="false">N$5*(1+A_pore*N$6*($A88/100))/(1-N$6*(1+((1-phimax_pore)/phimax_pore^2)*($A88/100))*($A88/100))</f>
        <v>0.0357467406426416</v>
      </c>
      <c r="O88" s="9" t="n">
        <f aca="false">O$5*(1+A_pore*O$6*($A88/100))/(1-O$6*(1+((1-phimax_pore)/phimax_pore^2)*($A88/100))*($A88/100))</f>
        <v>0.0361181308900058</v>
      </c>
      <c r="P88" s="9" t="n">
        <f aca="false">P$5*(1+A_pore*P$6*($A88/100))/(1-P$6*(1+((1-phimax_pore)/phimax_pore^2)*($A88/100))*($A88/100))</f>
        <v>0.0365123804112413</v>
      </c>
      <c r="Q88" s="9" t="n">
        <f aca="false">Q$5*(1+A_pore*Q$6*($A88/100))/(1-Q$6*(1+((1-phimax_pore)/phimax_pore^2)*($A88/100))*($A88/100))</f>
        <v>0.0369330271605431</v>
      </c>
      <c r="R88" s="9" t="n">
        <f aca="false">R$5*(1+A_pore*R$6*($A88/100))/(1-R$6*(1+((1-phimax_pore)/phimax_pore^2)*($A88/100))*($A88/100))</f>
        <v>0.0373842122442507</v>
      </c>
      <c r="S88" s="9" t="n">
        <f aca="false">S$5*(1+A_pore*S$6*($A88/100))/(1-S$6*(1+((1-phimax_pore)/phimax_pore^2)*($A88/100))*($A88/100))</f>
        <v>0.0378708355245791</v>
      </c>
      <c r="T88" s="9" t="n">
        <f aca="false">T$5*(1+A_pore*T$6*($A88/100))/(1-T$6*(1+((1-phimax_pore)/phimax_pore^2)*($A88/100))*($A88/100))</f>
        <v>0.0383987579194908</v>
      </c>
      <c r="U88" s="9" t="n">
        <f aca="false">U$5*(1+A_pore*U$6*($A88/100))/(1-U$6*(1+((1-phimax_pore)/phimax_pore^2)*($A88/100))*($A88/100))</f>
        <v>0.0389750683823946</v>
      </c>
      <c r="V88" s="9" t="n">
        <f aca="false">V$5*(1+A_pore*V$6*($A88/100))/(1-V$6*(1+((1-phimax_pore)/phimax_pore^2)*($A88/100))*($A88/100))</f>
        <v>0.0396084417428719</v>
      </c>
      <c r="W88" s="9" t="n">
        <f aca="false">W$5*(1+A_pore*W$6*($A88/100))/(1-W$6*(1+((1-phimax_pore)/phimax_pore^2)*($A88/100))*($A88/100))</f>
        <v>0.0403096262884424</v>
      </c>
      <c r="X88" s="9" t="n">
        <f aca="false">X$5*(1+A_pore*X$6*($A88/100))/(1-X$6*(1+((1-phimax_pore)/phimax_pore^2)*($A88/100))*($A88/100))</f>
        <v>0.0410921200803823</v>
      </c>
      <c r="Y88" s="9" t="n">
        <f aca="false">Y$5*(1+A_pore*Y$6*($A88/100))/(1-Y$6*(1+((1-phimax_pore)/phimax_pore^2)*($A88/100))*($A88/100))</f>
        <v>0.0419731276571549</v>
      </c>
      <c r="Z88" s="9" t="n">
        <f aca="false">Z$5*(1+A_pore*Z$6*($A88/100))/(1-Z$6*(1+((1-phimax_pore)/phimax_pore^2)*($A88/100))*($A88/100))</f>
        <v>0.0429749433237515</v>
      </c>
      <c r="AA88" s="9" t="n">
        <f aca="false">AA$5*(1+A_pore*AA$6*($A88/100))/(1-AA$6*(1+((1-phimax_pore)/phimax_pore^2)*($A88/100))*($A88/100))</f>
        <v>0.0441270012498486</v>
      </c>
      <c r="AB88" s="9" t="n">
        <f aca="false">AB$5*(1+A_pore*AB$6*($A88/100))/(1-AB$6*(1+((1-phimax_pore)/phimax_pore^2)*($A88/100))*($A88/100))</f>
        <v>0.045469000624984</v>
      </c>
      <c r="AC88" s="9" t="n">
        <f aca="false">AC$5*(1+A_pore*AC$6*($A88/100))/(1-AC$6*(1+((1-phimax_pore)/phimax_pore^2)*($A88/100))*($A88/100))</f>
        <v>0.04705582705229</v>
      </c>
      <c r="AD88" s="9" t="n">
        <f aca="false">AD$5*(1+A_pore*AD$6*($A88/100))/(1-AD$6*(1+((1-phimax_pore)/phimax_pore^2)*($A88/100))*($A88/100))</f>
        <v>0.048965602770705</v>
      </c>
      <c r="AE88" s="9" t="n">
        <f aca="false">AE$5*(1+A_pore*AE$6*($A88/100))/(1-AE$6*(1+((1-phimax_pore)/phimax_pore^2)*($A88/100))*($A88/100))</f>
        <v>0.0513134619858496</v>
      </c>
      <c r="AF88" s="9" t="n">
        <f aca="false">AF$5*(1+A_pore*AF$6*($A88/100))/(1-AF$6*(1+((1-phimax_pore)/phimax_pore^2)*($A88/100))*($A88/100))</f>
        <v>0.0542764407459777</v>
      </c>
      <c r="AG88" s="9" t="n">
        <f aca="false">AG$5*(1+A_pore*AG$6*($A88/100))/(1-AG$6*(1+((1-phimax_pore)/phimax_pore^2)*($A88/100))*($A88/100))</f>
        <v>0.058141569813773</v>
      </c>
      <c r="AH88" s="9" t="n">
        <f aca="false">AH$5*(1+A_pore*AH$6*($A88/100))/(1-AH$6*(1+((1-phimax_pore)/phimax_pore^2)*($A88/100))*($A88/100))</f>
        <v>0.063407048917392</v>
      </c>
      <c r="AI88" s="9" t="n">
        <f aca="false">AI$5*(1+A_pore*AI$6*($A88/100))/(1-AI$6*(1+((1-phimax_pore)/phimax_pore^2)*($A88/100))*($A88/100))</f>
        <v>0.0710202632210954</v>
      </c>
      <c r="AJ88" s="9" t="n">
        <f aca="false">AJ$5*(1+A_pore*AJ$6*($A88/100))/(1-AJ$6*(1+((1-phimax_pore)/phimax_pore^2)*($A88/100))*($A88/100))</f>
        <v>0.0830314175937418</v>
      </c>
      <c r="AK88" s="9" t="n">
        <f aca="false">AK$5*(1+A_pore*AK$6*($A88/100))/(1-AK$6*(1+((1-phimax_pore)/phimax_pore^2)*($A88/100))*($A88/100))</f>
        <v>0.104857052476062</v>
      </c>
    </row>
    <row r="89" customFormat="false" ht="15" hidden="false" customHeight="false" outlineLevel="0" collapsed="false">
      <c r="A89" s="4" t="n">
        <v>80</v>
      </c>
      <c r="B89" s="9" t="n">
        <f aca="false">B$5*(1+A_pore*B$6*($A89/100))/(1-B$6*(1+((1-phimax_pore)/phimax_pore^2)*($A89/100))*($A89/100))</f>
        <v>0.0318639120530038</v>
      </c>
      <c r="C89" s="9" t="n">
        <f aca="false">C$5*(1+A_pore*C$6*($A89/100))/(1-C$6*(1+((1-phimax_pore)/phimax_pore^2)*($A89/100))*($A89/100))</f>
        <v>0.0321159807662867</v>
      </c>
      <c r="D89" s="9" t="n">
        <f aca="false">D$5*(1+A_pore*D$6*($A89/100))/(1-D$6*(1+((1-phimax_pore)/phimax_pore^2)*($A89/100))*($A89/100))</f>
        <v>0.0323670731578967</v>
      </c>
      <c r="E89" s="9" t="n">
        <f aca="false">E$5*(1+A_pore*E$6*($A89/100))/(1-E$6*(1+((1-phimax_pore)/phimax_pore^2)*($A89/100))*($A89/100))</f>
        <v>0.0326188728187091</v>
      </c>
      <c r="F89" s="9" t="n">
        <f aca="false">F$5*(1+A_pore*F$6*($A89/100))/(1-F$6*(1+((1-phimax_pore)/phimax_pore^2)*($A89/100))*($A89/100))</f>
        <v>0.0328729590466499</v>
      </c>
      <c r="G89" s="9" t="n">
        <f aca="false">G$5*(1+A_pore*G$6*($A89/100))/(1-G$6*(1+((1-phimax_pore)/phimax_pore^2)*($A89/100))*($A89/100))</f>
        <v>0.0331308541154731</v>
      </c>
      <c r="H89" s="9" t="n">
        <f aca="false">H$5*(1+A_pore*H$6*($A89/100))/(1-H$6*(1+((1-phimax_pore)/phimax_pore^2)*($A89/100))*($A89/100))</f>
        <v>0.033394064399944</v>
      </c>
      <c r="I89" s="9" t="n">
        <f aca="false">I$5*(1+A_pore*I$6*($A89/100))/(1-I$6*(1+((1-phimax_pore)/phimax_pore^2)*($A89/100))*($A89/100))</f>
        <v>0.0336641180262976</v>
      </c>
      <c r="J89" s="9" t="n">
        <f aca="false">J$5*(1+A_pore*J$6*($A89/100))/(1-J$6*(1+((1-phimax_pore)/phimax_pore^2)*($A89/100))*($A89/100))</f>
        <v>0.0339426012303168</v>
      </c>
      <c r="K89" s="9" t="n">
        <f aca="false">K$5*(1+A_pore*K$6*($A89/100))/(1-K$6*(1+((1-phimax_pore)/phimax_pore^2)*($A89/100))*($A89/100))</f>
        <v>0.0342311953560462</v>
      </c>
      <c r="L89" s="9" t="n">
        <f aca="false">L$5*(1+A_pore*L$6*($A89/100))/(1-L$6*(1+((1-phimax_pore)/phimax_pore^2)*($A89/100))*($A89/100))</f>
        <v>0.034531716366723</v>
      </c>
      <c r="M89" s="9" t="n">
        <f aca="false">M$5*(1+A_pore*M$6*($A89/100))/(1-M$6*(1+((1-phimax_pore)/phimax_pore^2)*($A89/100))*($A89/100))</f>
        <v>0.0348461588463293</v>
      </c>
      <c r="N89" s="9" t="n">
        <f aca="false">N$5*(1+A_pore*N$6*($A89/100))/(1-N$6*(1+((1-phimax_pore)/phimax_pore^2)*($A89/100))*($A89/100))</f>
        <v>0.0351767467497139</v>
      </c>
      <c r="O89" s="9" t="n">
        <f aca="false">O$5*(1+A_pore*O$6*($A89/100))/(1-O$6*(1+((1-phimax_pore)/phimax_pore^2)*($A89/100))*($A89/100))</f>
        <v>0.03552599363942</v>
      </c>
      <c r="P89" s="9" t="n">
        <f aca="false">P$5*(1+A_pore*P$6*($A89/100))/(1-P$6*(1+((1-phimax_pore)/phimax_pore^2)*($A89/100))*($A89/100))</f>
        <v>0.0358967758837381</v>
      </c>
      <c r="Q89" s="9" t="n">
        <f aca="false">Q$5*(1+A_pore*Q$6*($A89/100))/(1-Q$6*(1+((1-phimax_pore)/phimax_pore^2)*($A89/100))*($A89/100))</f>
        <v>0.0362924233757474</v>
      </c>
      <c r="R89" s="9" t="n">
        <f aca="false">R$5*(1+A_pore*R$6*($A89/100))/(1-R$6*(1+((1-phimax_pore)/phimax_pore^2)*($A89/100))*($A89/100))</f>
        <v>0.0367168339143591</v>
      </c>
      <c r="S89" s="9" t="n">
        <f aca="false">S$5*(1+A_pore*S$6*($A89/100))/(1-S$6*(1+((1-phimax_pore)/phimax_pore^2)*($A89/100))*($A89/100))</f>
        <v>0.0371746196968539</v>
      </c>
      <c r="T89" s="9" t="n">
        <f aca="false">T$5*(1+A_pore*T$6*($A89/100))/(1-T$6*(1+((1-phimax_pore)/phimax_pore^2)*($A89/100))*($A89/100))</f>
        <v>0.0376712977737113</v>
      </c>
      <c r="U89" s="9" t="n">
        <f aca="false">U$5*(1+A_pore*U$6*($A89/100))/(1-U$6*(1+((1-phimax_pore)/phimax_pore^2)*($A89/100))*($A89/100))</f>
        <v>0.038213541396949</v>
      </c>
      <c r="V89" s="9" t="n">
        <f aca="false">V$5*(1+A_pore*V$6*($A89/100))/(1-V$6*(1+((1-phimax_pore)/phimax_pore^2)*($A89/100))*($A89/100))</f>
        <v>0.0388095169107838</v>
      </c>
      <c r="W89" s="9" t="n">
        <f aca="false">W$5*(1+A_pore*W$6*($A89/100))/(1-W$6*(1+((1-phimax_pore)/phimax_pore^2)*($A89/100))*($A89/100))</f>
        <v>0.0394693427888376</v>
      </c>
      <c r="X89" s="9" t="n">
        <f aca="false">X$5*(1+A_pore*X$6*($A89/100))/(1-X$6*(1+((1-phimax_pore)/phimax_pore^2)*($A89/100))*($A89/100))</f>
        <v>0.0402057263577476</v>
      </c>
      <c r="Y89" s="9" t="n">
        <f aca="false">Y$5*(1+A_pore*Y$6*($A89/100))/(1-Y$6*(1+((1-phimax_pore)/phimax_pore^2)*($A89/100))*($A89/100))</f>
        <v>0.0410348644957338</v>
      </c>
      <c r="Z89" s="9" t="n">
        <f aca="false">Z$5*(1+A_pore*Z$6*($A89/100))/(1-Z$6*(1+((1-phimax_pore)/phimax_pore^2)*($A89/100))*($A89/100))</f>
        <v>0.0419777459465627</v>
      </c>
      <c r="AA89" s="9" t="n">
        <f aca="false">AA$5*(1+A_pore*AA$6*($A89/100))/(1-AA$6*(1+((1-phimax_pore)/phimax_pore^2)*($A89/100))*($A89/100))</f>
        <v>0.0430620814101045</v>
      </c>
      <c r="AB89" s="9" t="n">
        <f aca="false">AB$5*(1+A_pore*AB$6*($A89/100))/(1-AB$6*(1+((1-phimax_pore)/phimax_pore^2)*($A89/100))*($A89/100))</f>
        <v>0.044325245760424</v>
      </c>
      <c r="AC89" s="9" t="n">
        <f aca="false">AC$5*(1+A_pore*AC$6*($A89/100))/(1-AC$6*(1+((1-phimax_pore)/phimax_pore^2)*($A89/100))*($A89/100))</f>
        <v>0.0458189113577657</v>
      </c>
      <c r="AD89" s="9" t="n">
        <f aca="false">AD$5*(1+A_pore*AD$6*($A89/100))/(1-AD$6*(1+((1-phimax_pore)/phimax_pore^2)*($A89/100))*($A89/100))</f>
        <v>0.047616627039706</v>
      </c>
      <c r="AE89" s="9" t="n">
        <f aca="false">AE$5*(1+A_pore*AE$6*($A89/100))/(1-AE$6*(1+((1-phimax_pore)/phimax_pore^2)*($A89/100))*($A89/100))</f>
        <v>0.0498267870954734</v>
      </c>
      <c r="AF89" s="9" t="n">
        <f aca="false">AF$5*(1+A_pore*AF$6*($A89/100))/(1-AF$6*(1+((1-phimax_pore)/phimax_pore^2)*($A89/100))*($A89/100))</f>
        <v>0.0526160641831369</v>
      </c>
      <c r="AG89" s="9" t="n">
        <f aca="false">AG$5*(1+A_pore*AG$6*($A89/100))/(1-AG$6*(1+((1-phimax_pore)/phimax_pore^2)*($A89/100))*($A89/100))</f>
        <v>0.0562546870293985</v>
      </c>
      <c r="AH89" s="9" t="n">
        <f aca="false">AH$5*(1+A_pore*AH$6*($A89/100))/(1-AH$6*(1+((1-phimax_pore)/phimax_pore^2)*($A89/100))*($A89/100))</f>
        <v>0.0612116923307076</v>
      </c>
      <c r="AI89" s="9" t="n">
        <f aca="false">AI$5*(1+A_pore*AI$6*($A89/100))/(1-AI$6*(1+((1-phimax_pore)/phimax_pore^2)*($A89/100))*($A89/100))</f>
        <v>0.06837900866132</v>
      </c>
      <c r="AJ89" s="9" t="n">
        <f aca="false">AJ$5*(1+A_pore*AJ$6*($A89/100))/(1-AJ$6*(1+((1-phimax_pore)/phimax_pore^2)*($A89/100))*($A89/100))</f>
        <v>0.0796868295255095</v>
      </c>
      <c r="AK89" s="9" t="n">
        <f aca="false">AK$5*(1+A_pore*AK$6*($A89/100))/(1-AK$6*(1+((1-phimax_pore)/phimax_pore^2)*($A89/100))*($A89/100))</f>
        <v>0.100234631784168</v>
      </c>
    </row>
    <row r="90" customFormat="false" ht="15" hidden="false" customHeight="false" outlineLevel="0" collapsed="false">
      <c r="A90" s="4" t="n">
        <v>81</v>
      </c>
      <c r="B90" s="9" t="n">
        <f aca="false">B$5*(1+A_pore*B$6*($A90/100))/(1-B$6*(1+((1-phimax_pore)/phimax_pore^2)*($A90/100))*($A90/100))</f>
        <v>0.0315126763298099</v>
      </c>
      <c r="C90" s="9" t="n">
        <f aca="false">C$5*(1+A_pore*C$6*($A90/100))/(1-C$6*(1+((1-phimax_pore)/phimax_pore^2)*($A90/100))*($A90/100))</f>
        <v>0.0317487855170284</v>
      </c>
      <c r="D90" s="9" t="n">
        <f aca="false">D$5*(1+A_pore*D$6*($A90/100))/(1-D$6*(1+((1-phimax_pore)/phimax_pore^2)*($A90/100))*($A90/100))</f>
        <v>0.0319840052874317</v>
      </c>
      <c r="E90" s="9" t="n">
        <f aca="false">E$5*(1+A_pore*E$6*($A90/100))/(1-E$6*(1+((1-phimax_pore)/phimax_pore^2)*($A90/100))*($A90/100))</f>
        <v>0.0322199164370111</v>
      </c>
      <c r="F90" s="9" t="n">
        <f aca="false">F$5*(1+A_pore*F$6*($A90/100))/(1-F$6*(1+((1-phimax_pore)/phimax_pore^2)*($A90/100))*($A90/100))</f>
        <v>0.0324580013585419</v>
      </c>
      <c r="G90" s="9" t="n">
        <f aca="false">G$5*(1+A_pore*G$6*($A90/100))/(1-G$6*(1+((1-phimax_pore)/phimax_pore^2)*($A90/100))*($A90/100))</f>
        <v>0.0326996886295286</v>
      </c>
      <c r="H90" s="9" t="n">
        <f aca="false">H$5*(1+A_pore*H$6*($A90/100))/(1-H$6*(1+((1-phimax_pore)/phimax_pore^2)*($A90/100))*($A90/100))</f>
        <v>0.0329463917626802</v>
      </c>
      <c r="I90" s="9" t="n">
        <f aca="false">I$5*(1+A_pore*I$6*($A90/100))/(1-I$6*(1+((1-phimax_pore)/phimax_pore^2)*($A90/100))*($A90/100))</f>
        <v>0.0331995446488415</v>
      </c>
      <c r="J90" s="9" t="n">
        <f aca="false">J$5*(1+A_pore*J$6*($A90/100))/(1-J$6*(1+((1-phimax_pore)/phimax_pore^2)*($A90/100))*($A90/100))</f>
        <v>0.0334606357570804</v>
      </c>
      <c r="K90" s="9" t="n">
        <f aca="false">K$5*(1+A_pore*K$6*($A90/100))/(1-K$6*(1+((1-phimax_pore)/phimax_pore^2)*($A90/100))*($A90/100))</f>
        <v>0.0337312429172569</v>
      </c>
      <c r="L90" s="9" t="n">
        <f aca="false">L$5*(1+A_pore*L$6*($A90/100))/(1-L$6*(1+((1-phimax_pore)/phimax_pore^2)*($A90/100))*($A90/100))</f>
        <v>0.0340130704493593</v>
      </c>
      <c r="M90" s="9" t="n">
        <f aca="false">M$5*(1+A_pore*M$6*($A90/100))/(1-M$6*(1+((1-phimax_pore)/phimax_pore^2)*($A90/100))*($A90/100))</f>
        <v>0.0343079905020768</v>
      </c>
      <c r="N90" s="9" t="n">
        <f aca="false">N$5*(1+A_pore*N$6*($A90/100))/(1-N$6*(1+((1-phimax_pore)/phimax_pore^2)*($A90/100))*($A90/100))</f>
        <v>0.0346180907242138</v>
      </c>
      <c r="O90" s="9" t="n">
        <f aca="false">O$5*(1+A_pore*O$6*($A90/100))/(1-O$6*(1+((1-phimax_pore)/phimax_pore^2)*($A90/100))*($A90/100))</f>
        <v>0.0349457308426256</v>
      </c>
      <c r="P90" s="9" t="n">
        <f aca="false">P$5*(1+A_pore*P$6*($A90/100))/(1-P$6*(1+((1-phimax_pore)/phimax_pore^2)*($A90/100))*($A90/100))</f>
        <v>0.0352936114113613</v>
      </c>
      <c r="Q90" s="9" t="n">
        <f aca="false">Q$5*(1+A_pore*Q$6*($A90/100))/(1-Q$6*(1+((1-phimax_pore)/phimax_pore^2)*($A90/100))*($A90/100))</f>
        <v>0.035664859015573</v>
      </c>
      <c r="R90" s="9" t="n">
        <f aca="false">R$5*(1+A_pore*R$6*($A90/100))/(1-R$6*(1+((1-phimax_pore)/phimax_pore^2)*($A90/100))*($A90/100))</f>
        <v>0.0360631336986251</v>
      </c>
      <c r="S90" s="9" t="n">
        <f aca="false">S$5*(1+A_pore*S$6*($A90/100))/(1-S$6*(1+((1-phimax_pore)/phimax_pore^2)*($A90/100))*($A90/100))</f>
        <v>0.036492766548836</v>
      </c>
      <c r="T90" s="9" t="n">
        <f aca="false">T$5*(1+A_pore*T$6*($A90/100))/(1-T$6*(1+((1-phimax_pore)/phimax_pore^2)*($A90/100))*($A90/100))</f>
        <v>0.0369589385767663</v>
      </c>
      <c r="U90" s="9" t="n">
        <f aca="false">U$5*(1+A_pore*U$6*($A90/100))/(1-U$6*(1+((1-phimax_pore)/phimax_pore^2)*($A90/100))*($A90/100))</f>
        <v>0.0374679167855657</v>
      </c>
      <c r="V90" s="9" t="n">
        <f aca="false">V$5*(1+A_pore*V$6*($A90/100))/(1-V$6*(1+((1-phimax_pore)/phimax_pore^2)*($A90/100))*($A90/100))</f>
        <v>0.0380273705854311</v>
      </c>
      <c r="W90" s="9" t="n">
        <f aca="false">W$5*(1+A_pore*W$6*($A90/100))/(1-W$6*(1+((1-phimax_pore)/phimax_pore^2)*($A90/100))*($A90/100))</f>
        <v>0.0386468029320925</v>
      </c>
      <c r="X90" s="9" t="n">
        <f aca="false">X$5*(1+A_pore*X$6*($A90/100))/(1-X$6*(1+((1-phimax_pore)/phimax_pore^2)*($A90/100))*($A90/100))</f>
        <v>0.0393381483541499</v>
      </c>
      <c r="Y90" s="9" t="n">
        <f aca="false">Y$5*(1+A_pore*Y$6*($A90/100))/(1-Y$6*(1+((1-phimax_pore)/phimax_pore^2)*($A90/100))*($A90/100))</f>
        <v>0.0401166189142115</v>
      </c>
      <c r="Z90" s="9" t="n">
        <f aca="false">Z$5*(1+A_pore*Z$6*($A90/100))/(1-Z$6*(1+((1-phimax_pore)/phimax_pore^2)*($A90/100))*($A90/100))</f>
        <v>0.0410019273800768</v>
      </c>
      <c r="AA90" s="9" t="n">
        <f aca="false">AA$5*(1+A_pore*AA$6*($A90/100))/(1-AA$6*(1+((1-phimax_pore)/phimax_pore^2)*($A90/100))*($A90/100))</f>
        <v>0.0420201000236843</v>
      </c>
      <c r="AB90" s="9" t="n">
        <f aca="false">AB$5*(1+A_pore*AB$6*($A90/100))/(1-AB$6*(1+((1-phimax_pore)/phimax_pore^2)*($A90/100))*($A90/100))</f>
        <v>0.0432062400423249</v>
      </c>
      <c r="AC90" s="9" t="n">
        <f aca="false">AC$5*(1+A_pore*AC$6*($A90/100))/(1-AC$6*(1+((1-phimax_pore)/phimax_pore^2)*($A90/100))*($A90/100))</f>
        <v>0.0446088793087014</v>
      </c>
      <c r="AD90" s="9" t="n">
        <f aca="false">AD$5*(1+A_pore*AD$6*($A90/100))/(1-AD$6*(1+((1-phimax_pore)/phimax_pore^2)*($A90/100))*($A90/100))</f>
        <v>0.0462970967958252</v>
      </c>
      <c r="AE90" s="9" t="n">
        <f aca="false">AE$5*(1+A_pore*AE$6*($A90/100))/(1-AE$6*(1+((1-phimax_pore)/phimax_pore^2)*($A90/100))*($A90/100))</f>
        <v>0.0483726994440392</v>
      </c>
      <c r="AF90" s="9" t="n">
        <f aca="false">AF$5*(1+A_pore*AF$6*($A90/100))/(1-AF$6*(1+((1-phimax_pore)/phimax_pore^2)*($A90/100))*($A90/100))</f>
        <v>0.0509922310929108</v>
      </c>
      <c r="AG90" s="9" t="n">
        <f aca="false">AG$5*(1+A_pore*AG$6*($A90/100))/(1-AG$6*(1+((1-phimax_pore)/phimax_pore^2)*($A90/100))*($A90/100))</f>
        <v>0.0544094987211112</v>
      </c>
      <c r="AH90" s="9" t="n">
        <f aca="false">AH$5*(1+A_pore*AH$6*($A90/100))/(1-AH$6*(1+((1-phimax_pore)/phimax_pore^2)*($A90/100))*($A90/100))</f>
        <v>0.0590650360302824</v>
      </c>
      <c r="AI90" s="9" t="n">
        <f aca="false">AI$5*(1+A_pore*AI$6*($A90/100))/(1-AI$6*(1+((1-phimax_pore)/phimax_pore^2)*($A90/100))*($A90/100))</f>
        <v>0.0657965701076016</v>
      </c>
      <c r="AJ90" s="9" t="n">
        <f aca="false">AJ$5*(1+A_pore*AJ$6*($A90/100))/(1-AJ$6*(1+((1-phimax_pore)/phimax_pore^2)*($A90/100))*($A90/100))</f>
        <v>0.0764169991765712</v>
      </c>
      <c r="AK90" s="9" t="n">
        <f aca="false">AK$5*(1+A_pore*AK$6*($A90/100))/(1-AK$6*(1+((1-phimax_pore)/phimax_pore^2)*($A90/100))*($A90/100))</f>
        <v>0.0957159122198514</v>
      </c>
    </row>
    <row r="91" customFormat="false" ht="15" hidden="false" customHeight="false" outlineLevel="0" collapsed="false">
      <c r="A91" s="4" t="n">
        <v>82</v>
      </c>
      <c r="B91" s="9" t="n">
        <f aca="false">B$5*(1+A_pore*B$6*($A91/100))/(1-B$6*(1+((1-phimax_pore)/phimax_pore^2)*($A91/100))*($A91/100))</f>
        <v>0.0311673103932445</v>
      </c>
      <c r="C91" s="9" t="n">
        <f aca="false">C$5*(1+A_pore*C$6*($A91/100))/(1-C$6*(1+((1-phimax_pore)/phimax_pore^2)*($A91/100))*($A91/100))</f>
        <v>0.031387862504139</v>
      </c>
      <c r="D91" s="9" t="n">
        <f aca="false">D$5*(1+A_pore*D$6*($A91/100))/(1-D$6*(1+((1-phimax_pore)/phimax_pore^2)*($A91/100))*($A91/100))</f>
        <v>0.0316076100354263</v>
      </c>
      <c r="E91" s="9" t="n">
        <f aca="false">E$5*(1+A_pore*E$6*($A91/100))/(1-E$6*(1+((1-phimax_pore)/phimax_pore^2)*($A91/100))*($A91/100))</f>
        <v>0.0318280329013369</v>
      </c>
      <c r="F91" s="9" t="n">
        <f aca="false">F$5*(1+A_pore*F$6*($A91/100))/(1-F$6*(1+((1-phimax_pore)/phimax_pore^2)*($A91/100))*($A91/100))</f>
        <v>0.0320505185005349</v>
      </c>
      <c r="G91" s="9" t="n">
        <f aca="false">G$5*(1+A_pore*G$6*($A91/100))/(1-G$6*(1+((1-phimax_pore)/phimax_pore^2)*($A91/100))*($A91/100))</f>
        <v>0.0322764036452733</v>
      </c>
      <c r="H91" s="9" t="n">
        <f aca="false">H$5*(1+A_pore*H$6*($A91/100))/(1-H$6*(1+((1-phimax_pore)/phimax_pore^2)*($A91/100))*($A91/100))</f>
        <v>0.0325070109637007</v>
      </c>
      <c r="I91" s="9" t="n">
        <f aca="false">I$5*(1+A_pore*I$6*($A91/100))/(1-I$6*(1+((1-phimax_pore)/phimax_pore^2)*($A91/100))*($A91/100))</f>
        <v>0.0327436821658416</v>
      </c>
      <c r="J91" s="9" t="n">
        <f aca="false">J$5*(1+A_pore*J$6*($A91/100))/(1-J$6*(1+((1-phimax_pore)/phimax_pore^2)*($A91/100))*($A91/100))</f>
        <v>0.0329878101205648</v>
      </c>
      <c r="K91" s="9" t="n">
        <f aca="false">K$5*(1+A_pore*K$6*($A91/100))/(1-K$6*(1+((1-phimax_pore)/phimax_pore^2)*($A91/100))*($A91/100))</f>
        <v>0.0332408714619634</v>
      </c>
      <c r="L91" s="9" t="n">
        <f aca="false">L$5*(1+A_pore*L$6*($A91/100))/(1-L$6*(1+((1-phimax_pore)/phimax_pore^2)*($A91/100))*($A91/100))</f>
        <v>0.033504461383444</v>
      </c>
      <c r="M91" s="9" t="n">
        <f aca="false">M$5*(1+A_pore*M$6*($A91/100))/(1-M$6*(1+((1-phimax_pore)/phimax_pore^2)*($A91/100))*($A91/100))</f>
        <v>0.0337803323678795</v>
      </c>
      <c r="N91" s="9" t="n">
        <f aca="false">N$5*(1+A_pore*N$6*($A91/100))/(1-N$6*(1+((1-phimax_pore)/phimax_pore^2)*($A91/100))*($A91/100))</f>
        <v>0.0340704388455638</v>
      </c>
      <c r="O91" s="9" t="n">
        <f aca="false">O$5*(1+A_pore*O$6*($A91/100))/(1-O$6*(1+((1-phimax_pore)/phimax_pore^2)*($A91/100))*($A91/100))</f>
        <v>0.0343769901924894</v>
      </c>
      <c r="P91" s="9" t="n">
        <f aca="false">P$5*(1+A_pore*P$6*($A91/100))/(1-P$6*(1+((1-phimax_pore)/phimax_pore^2)*($A91/100))*($A91/100))</f>
        <v>0.0347025151282288</v>
      </c>
      <c r="Q91" s="9" t="n">
        <f aca="false">Q$5*(1+A_pore*Q$6*($A91/100))/(1-Q$6*(1+((1-phimax_pore)/phimax_pore^2)*($A91/100))*($A91/100))</f>
        <v>0.0350499415267599</v>
      </c>
      <c r="R91" s="9" t="n">
        <f aca="false">R$5*(1+A_pore*R$6*($A91/100))/(1-R$6*(1+((1-phimax_pore)/phimax_pore^2)*($A91/100))*($A91/100))</f>
        <v>0.03542269704429</v>
      </c>
      <c r="S91" s="9" t="n">
        <f aca="false">S$5*(1+A_pore*S$6*($A91/100))/(1-S$6*(1+((1-phimax_pore)/phimax_pore^2)*($A91/100))*($A91/100))</f>
        <v>0.0358248379988308</v>
      </c>
      <c r="T91" s="9" t="n">
        <f aca="false">T$5*(1+A_pore*T$6*($A91/100))/(1-T$6*(1+((1-phimax_pore)/phimax_pore^2)*($A91/100))*($A91/100))</f>
        <v>0.0362612169285937</v>
      </c>
      <c r="U91" s="9" t="n">
        <f aca="false">U$5*(1+A_pore*U$6*($A91/100))/(1-U$6*(1+((1-phimax_pore)/phimax_pore^2)*($A91/100))*($A91/100))</f>
        <v>0.0367377037259806</v>
      </c>
      <c r="V91" s="9" t="n">
        <f aca="false">V$5*(1+A_pore*V$6*($A91/100))/(1-V$6*(1+((1-phimax_pore)/phimax_pore^2)*($A91/100))*($A91/100))</f>
        <v>0.0372614820339533</v>
      </c>
      <c r="W91" s="9" t="n">
        <f aca="false">W$5*(1+A_pore*W$6*($A91/100))/(1-W$6*(1+((1-phimax_pore)/phimax_pore^2)*($A91/100))*($A91/100))</f>
        <v>0.0378414531101411</v>
      </c>
      <c r="X91" s="9" t="n">
        <f aca="false">X$5*(1+A_pore*X$6*($A91/100))/(1-X$6*(1+((1-phimax_pore)/phimax_pore^2)*($A91/100))*($A91/100))</f>
        <v>0.0384887960240034</v>
      </c>
      <c r="Y91" s="9" t="n">
        <f aca="false">Y$5*(1+A_pore*Y$6*($A91/100))/(1-Y$6*(1+((1-phimax_pore)/phimax_pore^2)*($A91/100))*($A91/100))</f>
        <v>0.0392177601057485</v>
      </c>
      <c r="Z91" s="9" t="n">
        <f aca="false">Z$5*(1+A_pore*Z$6*($A91/100))/(1-Z$6*(1+((1-phimax_pore)/phimax_pore^2)*($A91/100))*($A91/100))</f>
        <v>0.0400468107462655</v>
      </c>
      <c r="AA91" s="9" t="n">
        <f aca="false">AA$5*(1+A_pore*AA$6*($A91/100))/(1-AA$6*(1+((1-phimax_pore)/phimax_pore^2)*($A91/100))*($A91/100))</f>
        <v>0.0410003275299352</v>
      </c>
      <c r="AB91" s="9" t="n">
        <f aca="false">AB$5*(1+A_pore*AB$6*($A91/100))/(1-AB$6*(1+((1-phimax_pore)/phimax_pore^2)*($A91/100))*($A91/100))</f>
        <v>0.0421111928611808</v>
      </c>
      <c r="AC91" s="9" t="n">
        <f aca="false">AC$5*(1+A_pore*AC$6*($A91/100))/(1-AC$6*(1+((1-phimax_pore)/phimax_pore^2)*($A91/100))*($A91/100))</f>
        <v>0.0434248684551096</v>
      </c>
      <c r="AD91" s="9" t="n">
        <f aca="false">AD$5*(1+A_pore*AD$6*($A91/100))/(1-AD$6*(1+((1-phimax_pore)/phimax_pore^2)*($A91/100))*($A91/100))</f>
        <v>0.0450060635054754</v>
      </c>
      <c r="AE91" s="9" t="n">
        <f aca="false">AE$5*(1+A_pore*AE$6*($A91/100))/(1-AE$6*(1+((1-phimax_pore)/phimax_pore^2)*($A91/100))*($A91/100))</f>
        <v>0.0469501450853653</v>
      </c>
      <c r="AF91" s="9" t="n">
        <f aca="false">AF$5*(1+A_pore*AF$6*($A91/100))/(1-AF$6*(1+((1-phimax_pore)/phimax_pore^2)*($A91/100))*($A91/100))</f>
        <v>0.0494037549681661</v>
      </c>
      <c r="AG91" s="9" t="n">
        <f aca="false">AG$5*(1+A_pore*AG$6*($A91/100))/(1-AG$6*(1+((1-phimax_pore)/phimax_pore^2)*($A91/100))*($A91/100))</f>
        <v>0.0526046459959054</v>
      </c>
      <c r="AH91" s="9" t="n">
        <f aca="false">AH$5*(1+A_pore*AH$6*($A91/100))/(1-AH$6*(1+((1-phimax_pore)/phimax_pore^2)*($A91/100))*($A91/100))</f>
        <v>0.0569654869108369</v>
      </c>
      <c r="AI91" s="9" t="n">
        <f aca="false">AI$5*(1+A_pore*AI$6*($A91/100))/(1-AI$6*(1+((1-phimax_pore)/phimax_pore^2)*($A91/100))*($A91/100))</f>
        <v>0.0632710165791109</v>
      </c>
      <c r="AJ91" s="9" t="n">
        <f aca="false">AJ$5*(1+A_pore*AJ$6*($A91/100))/(1-AJ$6*(1+((1-phimax_pore)/phimax_pore^2)*($A91/100))*($A91/100))</f>
        <v>0.0732194634914189</v>
      </c>
      <c r="AK91" s="9" t="n">
        <f aca="false">AK$5*(1+A_pore*AK$6*($A91/100))/(1-AK$6*(1+((1-phimax_pore)/phimax_pore^2)*($A91/100))*($A91/100))</f>
        <v>0.0912974652652436</v>
      </c>
    </row>
    <row r="92" customFormat="false" ht="15" hidden="false" customHeight="false" outlineLevel="0" collapsed="false">
      <c r="A92" s="4" t="n">
        <v>83</v>
      </c>
      <c r="B92" s="9" t="n">
        <f aca="false">B$5*(1+A_pore*B$6*($A92/100))/(1-B$6*(1+((1-phimax_pore)/phimax_pore^2)*($A92/100))*($A92/100))</f>
        <v>0.0308276687301654</v>
      </c>
      <c r="C92" s="9" t="n">
        <f aca="false">C$5*(1+A_pore*C$6*($A92/100))/(1-C$6*(1+((1-phimax_pore)/phimax_pore^2)*($A92/100))*($A92/100))</f>
        <v>0.0310330528378497</v>
      </c>
      <c r="D92" s="9" t="n">
        <f aca="false">D$5*(1+A_pore*D$6*($A92/100))/(1-D$6*(1+((1-phimax_pore)/phimax_pore^2)*($A92/100))*($A92/100))</f>
        <v>0.0312377150713058</v>
      </c>
      <c r="E92" s="9" t="n">
        <f aca="false">E$5*(1+A_pore*E$6*($A92/100))/(1-E$6*(1+((1-phimax_pore)/phimax_pore^2)*($A92/100))*($A92/100))</f>
        <v>0.0314430363411593</v>
      </c>
      <c r="F92" s="9" t="n">
        <f aca="false">F$5*(1+A_pore*F$6*($A92/100))/(1-F$6*(1+((1-phimax_pore)/phimax_pore^2)*($A92/100))*($A92/100))</f>
        <v>0.031650310922246</v>
      </c>
      <c r="G92" s="9" t="n">
        <f aca="false">G$5*(1+A_pore*G$6*($A92/100))/(1-G$6*(1+((1-phimax_pore)/phimax_pore^2)*($A92/100))*($A92/100))</f>
        <v>0.0318607857465668</v>
      </c>
      <c r="H92" s="9" t="n">
        <f aca="false">H$5*(1+A_pore*H$6*($A92/100))/(1-H$6*(1+((1-phimax_pore)/phimax_pore^2)*($A92/100))*($A92/100))</f>
        <v>0.0320756944840724</v>
      </c>
      <c r="I92" s="9" t="n">
        <f aca="false">I$5*(1+A_pore*I$6*($A92/100))/(1-I$6*(1+((1-phimax_pore)/phimax_pore^2)*($A92/100))*($A92/100))</f>
        <v>0.0322962886620232</v>
      </c>
      <c r="J92" s="9" t="n">
        <f aca="false">J$5*(1+A_pore*J$6*($A92/100))/(1-J$6*(1+((1-phimax_pore)/phimax_pore^2)*($A92/100))*($A92/100))</f>
        <v>0.0325238676531459</v>
      </c>
      <c r="K92" s="9" t="n">
        <f aca="false">K$5*(1+A_pore*K$6*($A92/100))/(1-K$6*(1+((1-phimax_pore)/phimax_pore^2)*($A92/100))*($A92/100))</f>
        <v>0.032759809144928</v>
      </c>
      <c r="L92" s="9" t="n">
        <f aca="false">L$5*(1+A_pore*L$6*($A92/100))/(1-L$6*(1+((1-phimax_pore)/phimax_pore^2)*($A92/100))*($A92/100))</f>
        <v>0.0330056016436351</v>
      </c>
      <c r="M92" s="9" t="n">
        <f aca="false">M$5*(1+A_pore*M$6*($A92/100))/(1-M$6*(1+((1-phimax_pore)/phimax_pore^2)*($A92/100))*($A92/100))</f>
        <v>0.033262880649091</v>
      </c>
      <c r="N92" s="9" t="n">
        <f aca="false">N$5*(1+A_pore*N$6*($A92/100))/(1-N$6*(1+((1-phimax_pore)/phimax_pore^2)*($A92/100))*($A92/100))</f>
        <v>0.0335334703624911</v>
      </c>
      <c r="O92" s="9" t="n">
        <f aca="false">O$5*(1+A_pore*O$6*($A92/100))/(1-O$6*(1+((1-phimax_pore)/phimax_pore^2)*($A92/100))*($A92/100))</f>
        <v>0.0338194331818233</v>
      </c>
      <c r="P92" s="9" t="n">
        <f aca="false">P$5*(1+A_pore*P$6*($A92/100))/(1-P$6*(1+((1-phimax_pore)/phimax_pore^2)*($A92/100))*($A92/100))</f>
        <v>0.0341231298430563</v>
      </c>
      <c r="Q92" s="9" t="n">
        <f aca="false">Q$5*(1+A_pore*Q$6*($A92/100))/(1-Q$6*(1+((1-phimax_pore)/phimax_pore^2)*($A92/100))*($A92/100))</f>
        <v>0.0344472939560214</v>
      </c>
      <c r="R92" s="9" t="n">
        <f aca="false">R$5*(1+A_pore*R$6*($A92/100))/(1-R$6*(1+((1-phimax_pore)/phimax_pore^2)*($A92/100))*($A92/100))</f>
        <v>0.0347951259825906</v>
      </c>
      <c r="S92" s="9" t="n">
        <f aca="false">S$5*(1+A_pore*S$6*($A92/100))/(1-S$6*(1+((1-phimax_pore)/phimax_pore^2)*($A92/100))*($A92/100))</f>
        <v>0.0351704136012401</v>
      </c>
      <c r="T92" s="9" t="n">
        <f aca="false">T$5*(1+A_pore*T$6*($A92/100))/(1-T$6*(1+((1-phimax_pore)/phimax_pore^2)*($A92/100))*($A92/100))</f>
        <v>0.0355776881967322</v>
      </c>
      <c r="U92" s="9" t="n">
        <f aca="false">U$5*(1+A_pore*U$6*($A92/100))/(1-U$6*(1+((1-phimax_pore)/phimax_pore^2)*($A92/100))*($A92/100))</f>
        <v>0.0360224313881743</v>
      </c>
      <c r="V92" s="9" t="n">
        <f aca="false">V$5*(1+A_pore*V$6*($A92/100))/(1-V$6*(1+((1-phimax_pore)/phimax_pore^2)*($A92/100))*($A92/100))</f>
        <v>0.0365113518503462</v>
      </c>
      <c r="W92" s="9" t="n">
        <f aca="false">W$5*(1+A_pore*W$6*($A92/100))/(1-W$6*(1+((1-phimax_pore)/phimax_pore^2)*($A92/100))*($A92/100))</f>
        <v>0.0370527625072231</v>
      </c>
      <c r="X92" s="9" t="n">
        <f aca="false">X$5*(1+A_pore*X$6*($A92/100))/(1-X$6*(1+((1-phimax_pore)/phimax_pore^2)*($A92/100))*($A92/100))</f>
        <v>0.0376571037365366</v>
      </c>
      <c r="Y92" s="9" t="n">
        <f aca="false">Y$5*(1+A_pore*Y$6*($A92/100))/(1-Y$6*(1+((1-phimax_pore)/phimax_pore^2)*($A92/100))*($A92/100))</f>
        <v>0.0383376834913118</v>
      </c>
      <c r="Z92" s="9" t="n">
        <f aca="false">Z$5*(1+A_pore*Z$6*($A92/100))/(1-Z$6*(1+((1-phimax_pore)/phimax_pore^2)*($A92/100))*($A92/100))</f>
        <v>0.039111747441695</v>
      </c>
      <c r="AA92" s="9" t="n">
        <f aca="false">AA$5*(1+A_pore*AA$6*($A92/100))/(1-AA$6*(1+((1-phimax_pore)/phimax_pore^2)*($A92/100))*($A92/100))</f>
        <v>0.0400020649805592</v>
      </c>
      <c r="AB92" s="9" t="n">
        <f aca="false">AB$5*(1+A_pore*AB$6*($A92/100))/(1-AB$6*(1+((1-phimax_pore)/phimax_pore^2)*($A92/100))*($A92/100))</f>
        <v>0.0410393469256807</v>
      </c>
      <c r="AC92" s="9" t="n">
        <f aca="false">AC$5*(1+A_pore*AC$6*($A92/100))/(1-AC$6*(1+((1-phimax_pore)/phimax_pore^2)*($A92/100))*($A92/100))</f>
        <v>0.0422660528457033</v>
      </c>
      <c r="AD92" s="9" t="n">
        <f aca="false">AD$5*(1+A_pore*AD$6*($A92/100))/(1-AD$6*(1+((1-phimax_pore)/phimax_pore^2)*($A92/100))*($A92/100))</f>
        <v>0.0437426189406324</v>
      </c>
      <c r="AE92" s="9" t="n">
        <f aca="false">AE$5*(1+A_pore*AE$6*($A92/100))/(1-AE$6*(1+((1-phimax_pore)/phimax_pore^2)*($A92/100))*($A92/100))</f>
        <v>0.0455581150355846</v>
      </c>
      <c r="AF92" s="9" t="n">
        <f aca="false">AF$5*(1+A_pore*AF$6*($A92/100))/(1-AF$6*(1+((1-phimax_pore)/phimax_pore^2)*($A92/100))*($A92/100))</f>
        <v>0.0478495001144031</v>
      </c>
      <c r="AG92" s="9" t="n">
        <f aca="false">AG$5*(1+A_pore*AG$6*($A92/100))/(1-AG$6*(1+((1-phimax_pore)/phimax_pore^2)*($A92/100))*($A92/100))</f>
        <v>0.050838828374466</v>
      </c>
      <c r="AH92" s="9" t="n">
        <f aca="false">AH$5*(1+A_pore*AH$6*($A92/100))/(1-AH$6*(1+((1-phimax_pore)/phimax_pore^2)*($A92/100))*($A92/100))</f>
        <v>0.0549115205996091</v>
      </c>
      <c r="AI92" s="9" t="n">
        <f aca="false">AI$5*(1+A_pore*AI$6*($A92/100))/(1-AI$6*(1+((1-phimax_pore)/phimax_pore^2)*($A92/100))*($A92/100))</f>
        <v>0.0608005007029905</v>
      </c>
      <c r="AJ92" s="9" t="n">
        <f aca="false">AJ$5*(1+A_pore*AJ$6*($A92/100))/(1-AJ$6*(1+((1-phimax_pore)/phimax_pore^2)*($A92/100))*($A92/100))</f>
        <v>0.0700918664339199</v>
      </c>
      <c r="AK92" s="9" t="n">
        <f aca="false">AK$5*(1+A_pore*AK$6*($A92/100))/(1-AK$6*(1+((1-phimax_pore)/phimax_pore^2)*($A92/100))*($A92/100))</f>
        <v>0.0869760118822435</v>
      </c>
    </row>
    <row r="93" customFormat="false" ht="15" hidden="false" customHeight="false" outlineLevel="0" collapsed="false">
      <c r="A93" s="4" t="n">
        <v>84</v>
      </c>
      <c r="B93" s="9" t="n">
        <f aca="false">B$5*(1+A_pore*B$6*($A93/100))/(1-B$6*(1+((1-phimax_pore)/phimax_pore^2)*($A93/100))*($A93/100))</f>
        <v>0.0304936105975801</v>
      </c>
      <c r="C93" s="9" t="n">
        <f aca="false">C$5*(1+A_pore*C$6*($A93/100))/(1-C$6*(1+((1-phimax_pore)/phimax_pore^2)*($A93/100))*($A93/100))</f>
        <v>0.030684202949983</v>
      </c>
      <c r="D93" s="9" t="n">
        <f aca="false">D$5*(1+A_pore*D$6*($A93/100))/(1-D$6*(1+((1-phimax_pore)/phimax_pore^2)*($A93/100))*($A93/100))</f>
        <v>0.0308741539479095</v>
      </c>
      <c r="E93" s="9" t="n">
        <f aca="false">E$5*(1+A_pore*E$6*($A93/100))/(1-E$6*(1+((1-phimax_pore)/phimax_pore^2)*($A93/100))*($A93/100))</f>
        <v>0.0310647473419406</v>
      </c>
      <c r="F93" s="9" t="n">
        <f aca="false">F$5*(1+A_pore*F$6*($A93/100))/(1-F$6*(1+((1-phimax_pore)/phimax_pore^2)*($A93/100))*($A93/100))</f>
        <v>0.0312571861134082</v>
      </c>
      <c r="G93" s="9" t="n">
        <f aca="false">G$5*(1+A_pore*G$6*($A93/100))/(1-G$6*(1+((1-phimax_pore)/phimax_pore^2)*($A93/100))*($A93/100))</f>
        <v>0.0314526291542409</v>
      </c>
      <c r="H93" s="9" t="n">
        <f aca="false">H$5*(1+A_pore*H$6*($A93/100))/(1-H$6*(1+((1-phimax_pore)/phimax_pore^2)*($A93/100))*($A93/100))</f>
        <v>0.0316522230529523</v>
      </c>
      <c r="I93" s="9" t="n">
        <f aca="false">I$5*(1+A_pore*I$6*($A93/100))/(1-I$6*(1+((1-phimax_pore)/phimax_pore^2)*($A93/100))*($A93/100))</f>
        <v>0.031857131097452</v>
      </c>
      <c r="J93" s="9" t="n">
        <f aca="false">J$5*(1+A_pore*J$6*($A93/100))/(1-J$6*(1+((1-phimax_pore)/phimax_pore^2)*($A93/100))*($A93/100))</f>
        <v>0.0320685612081475</v>
      </c>
      <c r="K93" s="9" t="n">
        <f aca="false">K$5*(1+A_pore*K$6*($A93/100))/(1-K$6*(1+((1-phimax_pore)/phimax_pore^2)*($A93/100))*($A93/100))</f>
        <v>0.0322877943084178</v>
      </c>
      <c r="L93" s="9" t="n">
        <f aca="false">L$5*(1+A_pore*L$6*($A93/100))/(1-L$6*(1+((1-phimax_pore)/phimax_pore^2)*($A93/100))*($A93/100))</f>
        <v>0.0325162145826084</v>
      </c>
      <c r="M93" s="9" t="n">
        <f aca="false">M$5*(1+A_pore*M$6*($A93/100))/(1-M$6*(1+((1-phimax_pore)/phimax_pore^2)*($A93/100))*($A93/100))</f>
        <v>0.0327553431470225</v>
      </c>
      <c r="N93" s="9" t="n">
        <f aca="false">N$5*(1+A_pore*N$6*($A93/100))/(1-N$6*(1+((1-phimax_pore)/phimax_pore^2)*($A93/100))*($A93/100))</f>
        <v>0.0330068768690618</v>
      </c>
      <c r="O93" s="9" t="n">
        <f aca="false">O$5*(1+A_pore*O$6*($A93/100))/(1-O$6*(1+((1-phimax_pore)/phimax_pore^2)*($A93/100))*($A93/100))</f>
        <v>0.0332727344342536</v>
      </c>
      <c r="P93" s="9" t="n">
        <f aca="false">P$5*(1+A_pore*P$6*($A93/100))/(1-P$6*(1+((1-phimax_pore)/phimax_pore^2)*($A93/100))*($A93/100))</f>
        <v>0.033555112322367</v>
      </c>
      <c r="Q93" s="9" t="n">
        <f aca="false">Q$5*(1+A_pore*Q$6*($A93/100))/(1-Q$6*(1+((1-phimax_pore)/phimax_pore^2)*($A93/100))*($A93/100))</f>
        <v>0.0338565541827436</v>
      </c>
      <c r="R93" s="9" t="n">
        <f aca="false">R$5*(1+A_pore*R$6*($A93/100))/(1-R$6*(1+((1-phimax_pore)/phimax_pore^2)*($A93/100))*($A93/100))</f>
        <v>0.0341800383076771</v>
      </c>
      <c r="S93" s="9" t="n">
        <f aca="false">S$5*(1+A_pore*S$6*($A93/100))/(1-S$6*(1+((1-phimax_pore)/phimax_pore^2)*($A93/100))*($A93/100))</f>
        <v>0.034529089667922</v>
      </c>
      <c r="T93" s="9" t="n">
        <f aca="false">T$5*(1+A_pore*T$6*($A93/100))/(1-T$6*(1+((1-phimax_pore)/phimax_pore^2)*($A93/100))*($A93/100))</f>
        <v>0.034907925575741</v>
      </c>
      <c r="U93" s="9" t="n">
        <f aca="false">U$5*(1+A_pore*U$6*($A93/100))/(1-U$6*(1+((1-phimax_pore)/phimax_pore^2)*($A93/100))*($A93/100))</f>
        <v>0.0353216479267241</v>
      </c>
      <c r="V93" s="9" t="n">
        <f aca="false">V$5*(1+A_pore*V$6*($A93/100))/(1-V$6*(1+((1-phimax_pore)/phimax_pore^2)*($A93/100))*($A93/100))</f>
        <v>0.035776500874713</v>
      </c>
      <c r="W93" s="9" t="n">
        <f aca="false">W$5*(1+A_pore*W$6*($A93/100))/(1-W$6*(1+((1-phimax_pore)/phimax_pore^2)*($A93/100))*($A93/100))</f>
        <v>0.0362802219388718</v>
      </c>
      <c r="X93" s="9" t="n">
        <f aca="false">X$5*(1+A_pore*X$6*($A93/100))/(1-X$6*(1+((1-phimax_pore)/phimax_pore^2)*($A93/100))*($A93/100))</f>
        <v>0.0368425290259314</v>
      </c>
      <c r="Y93" s="9" t="n">
        <f aca="false">Y$5*(1+A_pore*Y$6*($A93/100))/(1-Y$6*(1+((1-phimax_pore)/phimax_pore^2)*($A93/100))*($A93/100))</f>
        <v>0.0374758093705682</v>
      </c>
      <c r="Z93" s="9" t="n">
        <f aca="false">Z$5*(1+A_pore*Z$6*($A93/100))/(1-Z$6*(1+((1-phimax_pore)/phimax_pore^2)*($A93/100))*($A93/100))</f>
        <v>0.0381961156764243</v>
      </c>
      <c r="AA93" s="9" t="n">
        <f aca="false">AA$5*(1+A_pore*AA$6*($A93/100))/(1-AA$6*(1+((1-phimax_pore)/phimax_pore^2)*($A93/100))*($A93/100))</f>
        <v>0.0390246424506646</v>
      </c>
      <c r="AB93" s="9" t="n">
        <f aca="false">AB$5*(1+A_pore*AB$6*($A93/100))/(1-AB$6*(1+((1-phimax_pore)/phimax_pore^2)*($A93/100))*($A93/100))</f>
        <v>0.039989976525871</v>
      </c>
      <c r="AC93" s="9" t="n">
        <f aca="false">AC$5*(1+A_pore*AC$6*($A93/100))/(1-AC$6*(1+((1-phimax_pore)/phimax_pore^2)*($A93/100))*($A93/100))</f>
        <v>0.0411316411173392</v>
      </c>
      <c r="AD93" s="9" t="n">
        <f aca="false">AD$5*(1+A_pore*AD$6*($A93/100))/(1-AD$6*(1+((1-phimax_pore)/phimax_pore^2)*($A93/100))*($A93/100))</f>
        <v>0.0425058930604852</v>
      </c>
      <c r="AE93" s="9" t="n">
        <f aca="false">AE$5*(1+A_pore*AE$6*($A93/100))/(1-AE$6*(1+((1-phimax_pore)/phimax_pore^2)*($A93/100))*($A93/100))</f>
        <v>0.0441956429007803</v>
      </c>
      <c r="AF93" s="9" t="n">
        <f aca="false">AF$5*(1+A_pore*AF$6*($A93/100))/(1-AF$6*(1+((1-phimax_pore)/phimax_pore^2)*($A93/100))*($A93/100))</f>
        <v>0.0463283789584817</v>
      </c>
      <c r="AG93" s="9" t="n">
        <f aca="false">AG$5*(1+A_pore*AG$6*($A93/100))/(1-AG$6*(1+((1-phimax_pore)/phimax_pore^2)*($A93/100))*($A93/100))</f>
        <v>0.0491108006858115</v>
      </c>
      <c r="AH93" s="9" t="n">
        <f aca="false">AH$5*(1+A_pore*AH$6*($A93/100))/(1-AH$6*(1+((1-phimax_pore)/phimax_pore^2)*($A93/100))*($A93/100))</f>
        <v>0.0529016777891885</v>
      </c>
      <c r="AI93" s="9" t="n">
        <f aca="false">AI$5*(1+A_pore*AI$6*($A93/100))/(1-AI$6*(1+((1-phimax_pore)/phimax_pore^2)*($A93/100))*($A93/100))</f>
        <v>0.058383254237723</v>
      </c>
      <c r="AJ93" s="9" t="n">
        <f aca="false">AJ$5*(1+A_pore*AJ$6*($A93/100))/(1-AJ$6*(1+((1-phimax_pore)/phimax_pore^2)*($A93/100))*($A93/100))</f>
        <v>0.0670319532373094</v>
      </c>
      <c r="AK93" s="9" t="n">
        <f aca="false">AK$5*(1+A_pore*AK$6*($A93/100))/(1-AK$6*(1+((1-phimax_pore)/phimax_pore^2)*($A93/100))*($A93/100))</f>
        <v>0.0827484144539104</v>
      </c>
    </row>
    <row r="94" customFormat="false" ht="15" hidden="false" customHeight="false" outlineLevel="0" collapsed="false">
      <c r="A94" s="4" t="n">
        <v>85</v>
      </c>
      <c r="B94" s="9" t="n">
        <f aca="false">B$5*(1+A_pore*B$6*($A94/100))/(1-B$6*(1+((1-phimax_pore)/phimax_pore^2)*($A94/100))*($A94/100))</f>
        <v>0.0301649998287682</v>
      </c>
      <c r="C94" s="9" t="n">
        <f aca="false">C$5*(1+A_pore*C$6*($A94/100))/(1-C$6*(1+((1-phimax_pore)/phimax_pore^2)*($A94/100))*($A94/100))</f>
        <v>0.0303411643730115</v>
      </c>
      <c r="D94" s="9" t="n">
        <f aca="false">D$5*(1+A_pore*D$6*($A94/100))/(1-D$6*(1+((1-phimax_pore)/phimax_pore^2)*($A94/100))*($A94/100))</f>
        <v>0.030516765852539</v>
      </c>
      <c r="E94" s="9" t="n">
        <f aca="false">E$5*(1+A_pore*E$6*($A94/100))/(1-E$6*(1+((1-phimax_pore)/phimax_pore^2)*($A94/100))*($A94/100))</f>
        <v>0.0306929926672434</v>
      </c>
      <c r="F94" s="9" t="n">
        <f aca="false">F$5*(1+A_pore*F$6*($A94/100))/(1-F$6*(1+((1-phimax_pore)/phimax_pore^2)*($A94/100))*($A94/100))</f>
        <v>0.030870958296116</v>
      </c>
      <c r="G94" s="9" t="n">
        <f aca="false">G$5*(1+A_pore*G$6*($A94/100))/(1-G$6*(1+((1-phimax_pore)/phimax_pore^2)*($A94/100))*($A94/100))</f>
        <v>0.031051735387523</v>
      </c>
      <c r="H94" s="9" t="n">
        <f aca="false">H$5*(1+A_pore*H$6*($A94/100))/(1-H$6*(1+((1-phimax_pore)/phimax_pore^2)*($A94/100))*($A94/100))</f>
        <v>0.0312363852771788</v>
      </c>
      <c r="I94" s="9" t="n">
        <f aca="false">I$5*(1+A_pore*I$6*($A94/100))/(1-I$6*(1+((1-phimax_pore)/phimax_pore^2)*($A94/100))*($A94/100))</f>
        <v>0.0314259849042133</v>
      </c>
      <c r="J94" s="9" t="n">
        <f aca="false">J$5*(1+A_pore*J$6*($A94/100))/(1-J$6*(1+((1-phimax_pore)/phimax_pore^2)*($A94/100))*($A94/100))</f>
        <v>0.0316216527224293</v>
      </c>
      <c r="K94" s="9" t="n">
        <f aca="false">K$5*(1+A_pore*K$6*($A94/100))/(1-K$6*(1+((1-phimax_pore)/phimax_pore^2)*($A94/100))*($A94/100))</f>
        <v>0.0318245750094086</v>
      </c>
      <c r="L94" s="9" t="n">
        <f aca="false">L$5*(1+A_pore*L$6*($A94/100))/(1-L$6*(1+((1-phimax_pore)/phimax_pore^2)*($A94/100))*($A94/100))</f>
        <v>0.0320360339214389</v>
      </c>
      <c r="M94" s="9" t="n">
        <f aca="false">M$5*(1+A_pore*M$6*($A94/100))/(1-M$6*(1+((1-phimax_pore)/phimax_pore^2)*($A94/100))*($A94/100))</f>
        <v>0.0322574387108951</v>
      </c>
      <c r="N94" s="9" t="n">
        <f aca="false">N$5*(1+A_pore*N$6*($A94/100))/(1-N$6*(1+((1-phimax_pore)/phimax_pore^2)*($A94/100))*($A94/100))</f>
        <v>0.0324903617163943</v>
      </c>
      <c r="O94" s="9" t="n">
        <f aca="false">O$5*(1+A_pore*O$6*($A94/100))/(1-O$6*(1+((1-phimax_pore)/phimax_pore^2)*($A94/100))*($A94/100))</f>
        <v>0.0327365810736499</v>
      </c>
      <c r="P94" s="9" t="n">
        <f aca="false">P$5*(1+A_pore*P$6*($A94/100))/(1-P$6*(1+((1-phimax_pore)/phimax_pore^2)*($A94/100))*($A94/100))</f>
        <v>0.0329981326153085</v>
      </c>
      <c r="Q94" s="9" t="n">
        <f aca="false">Q$5*(1+A_pore*Q$6*($A94/100))/(1-Q$6*(1+((1-phimax_pore)/phimax_pore^2)*($A94/100))*($A94/100))</f>
        <v>0.0332773741965321</v>
      </c>
      <c r="R94" s="9" t="n">
        <f aca="false">R$5*(1+A_pore*R$6*($A94/100))/(1-R$6*(1+((1-phimax_pore)/phimax_pore^2)*($A94/100))*($A94/100))</f>
        <v>0.0335770668038355</v>
      </c>
      <c r="S94" s="9" t="n">
        <f aca="false">S$5*(1+A_pore*S$6*($A94/100))/(1-S$6*(1+((1-phimax_pore)/phimax_pore^2)*($A94/100))*($A94/100))</f>
        <v>0.0339004784415634</v>
      </c>
      <c r="T94" s="9" t="n">
        <f aca="false">T$5*(1+A_pore*T$6*($A94/100))/(1-T$6*(1+((1-phimax_pore)/phimax_pore^2)*($A94/100))*($A94/100))</f>
        <v>0.0342515192026245</v>
      </c>
      <c r="U94" s="9" t="n">
        <f aca="false">U$5*(1+A_pore*U$6*($A94/100))/(1-U$6*(1+((1-phimax_pore)/phimax_pore^2)*($A94/100))*($A94/100))</f>
        <v>0.0346349195334939</v>
      </c>
      <c r="V94" s="9" t="n">
        <f aca="false">V$5*(1+A_pore*V$6*($A94/100))/(1-V$6*(1+((1-phimax_pore)/phimax_pore^2)*($A94/100))*($A94/100))</f>
        <v>0.0350564691775784</v>
      </c>
      <c r="W94" s="9" t="n">
        <f aca="false">W$5*(1+A_pore*W$6*($A94/100))/(1-W$6*(1+((1-phimax_pore)/phimax_pore^2)*($A94/100))*($A94/100))</f>
        <v>0.035523342761155</v>
      </c>
      <c r="X94" s="9" t="n">
        <f aca="false">X$5*(1+A_pore*X$6*($A94/100))/(1-X$6*(1+((1-phimax_pore)/phimax_pore^2)*($A94/100))*($A94/100))</f>
        <v>0.0360445514174653</v>
      </c>
      <c r="Y94" s="9" t="n">
        <f aca="false">Y$5*(1+A_pore*Y$6*($A94/100))/(1-Y$6*(1+((1-phimax_pore)/phimax_pore^2)*($A94/100))*($A94/100))</f>
        <v>0.0366315816552035</v>
      </c>
      <c r="Z94" s="9" t="n">
        <f aca="false">Z$5*(1+A_pore*Z$6*($A94/100))/(1-Z$6*(1+((1-phimax_pore)/phimax_pore^2)*($A94/100))*($A94/100))</f>
        <v>0.0372993191025809</v>
      </c>
      <c r="AA94" s="9" t="n">
        <f aca="false">AA$5*(1+A_pore*AA$6*($A94/100))/(1-AA$6*(1+((1-phimax_pore)/phimax_pore^2)*($A94/100))*($A94/100))</f>
        <v>0.0380674175477706</v>
      </c>
      <c r="AB94" s="9" t="n">
        <f aca="false">AB$5*(1+A_pore*AB$6*($A94/100))/(1-AB$6*(1+((1-phimax_pore)/phimax_pore^2)*($A94/100))*($A94/100))</f>
        <v>0.0389623859038449</v>
      </c>
      <c r="AC94" s="9" t="n">
        <f aca="false">AC$5*(1+A_pore*AC$6*($A94/100))/(1-AC$6*(1+((1-phimax_pore)/phimax_pore^2)*($A94/100))*($A94/100))</f>
        <v>0.0400208747032287</v>
      </c>
      <c r="AD94" s="9" t="n">
        <f aca="false">AD$5*(1+A_pore*AD$6*($A94/100))/(1-AD$6*(1+((1-phimax_pore)/phimax_pore^2)*($A94/100))*($A94/100))</f>
        <v>0.0412950520252967</v>
      </c>
      <c r="AE94" s="9" t="n">
        <f aca="false">AE$5*(1+A_pore*AE$6*($A94/100))/(1-AE$6*(1+((1-phimax_pore)/phimax_pore^2)*($A94/100))*($A94/100))</f>
        <v>0.0428618026532621</v>
      </c>
      <c r="AF94" s="9" t="n">
        <f aca="false">AF$5*(1+A_pore*AF$6*($A94/100))/(1-AF$6*(1+((1-phimax_pore)/phimax_pore^2)*($A94/100))*($A94/100))</f>
        <v>0.0448393495266057</v>
      </c>
      <c r="AG94" s="9" t="n">
        <f aca="false">AG$5*(1+A_pore*AG$6*($A94/100))/(1-AG$6*(1+((1-phimax_pore)/phimax_pore^2)*($A94/100))*($A94/100))</f>
        <v>0.0474193701579549</v>
      </c>
      <c r="AH94" s="9" t="n">
        <f aca="false">AH$5*(1+A_pore*AH$6*($A94/100))/(1-AH$6*(1+((1-phimax_pore)/phimax_pore^2)*($A94/100))*($A94/100))</f>
        <v>0.0509345608026607</v>
      </c>
      <c r="AI94" s="9" t="n">
        <f aca="false">AI$5*(1+A_pore*AI$6*($A94/100))/(1-AI$6*(1+((1-phimax_pore)/phimax_pore^2)*($A94/100))*($A94/100))</f>
        <v>0.0560175838810819</v>
      </c>
      <c r="AJ94" s="9" t="n">
        <f aca="false">AJ$5*(1+A_pore*AJ$6*($A94/100))/(1-AJ$6*(1+((1-phimax_pore)/phimax_pore^2)*($A94/100))*($A94/100))</f>
        <v>0.0640375650209719</v>
      </c>
      <c r="AK94" s="9" t="n">
        <f aca="false">AK$5*(1+A_pore*AK$6*($A94/100))/(1-AK$6*(1+((1-phimax_pore)/phimax_pore^2)*($A94/100))*($A94/100))</f>
        <v>0.0786116692416308</v>
      </c>
    </row>
    <row r="95" customFormat="false" ht="15" hidden="false" customHeight="false" outlineLevel="0" collapsed="false">
      <c r="A95" s="4" t="n">
        <v>86</v>
      </c>
      <c r="B95" s="9" t="n">
        <f aca="false">B$5*(1+A_pore*B$6*($A95/100))/(1-B$6*(1+((1-phimax_pore)/phimax_pore^2)*($A95/100))*($A95/100))</f>
        <v>0.029841704648784</v>
      </c>
      <c r="C95" s="9" t="n">
        <f aca="false">C$5*(1+A_pore*C$6*($A95/100))/(1-C$6*(1+((1-phimax_pore)/phimax_pore^2)*($A95/100))*($A95/100))</f>
        <v>0.0300037935300343</v>
      </c>
      <c r="D95" s="9" t="n">
        <f aca="false">D$5*(1+A_pore*D$6*($A95/100))/(1-D$6*(1+((1-phimax_pore)/phimax_pore^2)*($A95/100))*($A95/100))</f>
        <v>0.0301653953705409</v>
      </c>
      <c r="E95" s="9" t="n">
        <f aca="false">E$5*(1+A_pore*E$6*($A95/100))/(1-E$6*(1+((1-phimax_pore)/phimax_pore^2)*($A95/100))*($A95/100))</f>
        <v>0.0303276049950748</v>
      </c>
      <c r="F95" s="9" t="n">
        <f aca="false">F$5*(1+A_pore*F$6*($A95/100))/(1-F$6*(1+((1-phimax_pore)/phimax_pore^2)*($A95/100))*($A95/100))</f>
        <v>0.0304914481330765</v>
      </c>
      <c r="G95" s="9" t="n">
        <f aca="false">G$5*(1+A_pore*G$6*($A95/100))/(1-G$6*(1+((1-phimax_pore)/phimax_pore^2)*($A95/100))*($A95/100))</f>
        <v>0.0306579129433137</v>
      </c>
      <c r="H95" s="9" t="n">
        <f aca="false">H$5*(1+A_pore*H$6*($A95/100))/(1-H$6*(1+((1-phimax_pore)/phimax_pore^2)*($A95/100))*($A95/100))</f>
        <v>0.0308279772906469</v>
      </c>
      <c r="I95" s="9" t="n">
        <f aca="false">I$5*(1+A_pore*I$6*($A95/100))/(1-I$6*(1+((1-phimax_pore)/phimax_pore^2)*($A95/100))*($A95/100))</f>
        <v>0.0310026336048853</v>
      </c>
      <c r="J95" s="9" t="n">
        <f aca="false">J$5*(1+A_pore*J$6*($A95/100))/(1-J$6*(1+((1-phimax_pore)/phimax_pore^2)*($A95/100))*($A95/100))</f>
        <v>0.0311829128028707</v>
      </c>
      <c r="K95" s="9" t="n">
        <f aca="false">K$5*(1+A_pore*K$6*($A95/100))/(1-K$6*(1+((1-phimax_pore)/phimax_pore^2)*($A95/100))*($A95/100))</f>
        <v>0.0313699085728771</v>
      </c>
      <c r="L95" s="9" t="n">
        <f aca="false">L$5*(1+A_pore*L$6*($A95/100))/(1-L$6*(1+((1-phimax_pore)/phimax_pore^2)*($A95/100))*($A95/100))</f>
        <v>0.0315648032683667</v>
      </c>
      <c r="M95" s="9" t="n">
        <f aca="false">M$5*(1+A_pore*M$6*($A95/100))/(1-M$6*(1+((1-phimax_pore)/phimax_pore^2)*($A95/100))*($A95/100))</f>
        <v>0.0317688967205837</v>
      </c>
      <c r="N95" s="9" t="n">
        <f aca="false">N$5*(1+A_pore*N$6*($A95/100))/(1-N$6*(1+((1-phimax_pore)/phimax_pore^2)*($A95/100))*($A95/100))</f>
        <v>0.0319836394576961</v>
      </c>
      <c r="O95" s="9" t="n">
        <f aca="false">O$5*(1+A_pore*O$6*($A95/100))/(1-O$6*(1+((1-phimax_pore)/phimax_pore^2)*($A95/100))*($A95/100))</f>
        <v>0.0322106721295468</v>
      </c>
      <c r="P95" s="9" t="n">
        <f aca="false">P$5*(1+A_pore*P$6*($A95/100))/(1-P$6*(1+((1-phimax_pore)/phimax_pore^2)*($A95/100))*($A95/100))</f>
        <v>0.0324518734172878</v>
      </c>
      <c r="Q95" s="9" t="n">
        <f aca="false">Q$5*(1+A_pore*Q$6*($A95/100))/(1-Q$6*(1+((1-phimax_pore)/phimax_pore^2)*($A95/100))*($A95/100))</f>
        <v>0.0327094194165774</v>
      </c>
      <c r="R95" s="9" t="n">
        <f aca="false">R$5*(1+A_pore*R$6*($A95/100))/(1-R$6*(1+((1-phimax_pore)/phimax_pore^2)*($A95/100))*($A95/100))</f>
        <v>0.0329858585177309</v>
      </c>
      <c r="S95" s="9" t="n">
        <f aca="false">S$5*(1+A_pore*S$6*($A95/100))/(1-S$6*(1+((1-phimax_pore)/phimax_pore^2)*($A95/100))*($A95/100))</f>
        <v>0.0332842073175051</v>
      </c>
      <c r="T95" s="9" t="n">
        <f aca="false">T$5*(1+A_pore*T$6*($A95/100))/(1-T$6*(1+((1-phimax_pore)/phimax_pore^2)*($A95/100))*($A95/100))</f>
        <v>0.0336080753244105</v>
      </c>
      <c r="U95" s="9" t="n">
        <f aca="false">U$5*(1+A_pore*U$6*($A95/100))/(1-U$6*(1+((1-phimax_pore)/phimax_pore^2)*($A95/100))*($A95/100))</f>
        <v>0.0339618295464857</v>
      </c>
      <c r="V95" s="9" t="n">
        <f aca="false">V$5*(1+A_pore*V$6*($A95/100))/(1-V$6*(1+((1-phimax_pore)/phimax_pore^2)*($A95/100))*($A95/100))</f>
        <v>0.0343508151047393</v>
      </c>
      <c r="W95" s="9" t="n">
        <f aca="false">W$5*(1+A_pore*W$6*($A95/100))/(1-W$6*(1+((1-phimax_pore)/phimax_pore^2)*($A95/100))*($A95/100))</f>
        <v>0.0347816558452583</v>
      </c>
      <c r="X95" s="9" t="n">
        <f aca="false">X$5*(1+A_pore*X$6*($A95/100))/(1-X$6*(1+((1-phimax_pore)/phimax_pore^2)*($A95/100))*($A95/100))</f>
        <v>0.0352626713243166</v>
      </c>
      <c r="Y95" s="9" t="n">
        <f aca="false">Y$5*(1+A_pore*Y$6*($A95/100))/(1-Y$6*(1+((1-phimax_pore)/phimax_pore^2)*($A95/100))*($A95/100))</f>
        <v>0.0358044666788526</v>
      </c>
      <c r="Z95" s="9" t="n">
        <f aca="false">Z$5*(1+A_pore*Z$6*($A95/100))/(1-Z$6*(1+((1-phimax_pore)/phimax_pore^2)*($A95/100))*($A95/100))</f>
        <v>0.0364207855262565</v>
      </c>
      <c r="AA95" s="9" t="n">
        <f aca="false">AA$5*(1+A_pore*AA$6*($A95/100))/(1-AA$6*(1+((1-phimax_pore)/phimax_pore^2)*($A95/100))*($A95/100))</f>
        <v>0.0371297740117916</v>
      </c>
      <c r="AB95" s="9" t="n">
        <f aca="false">AB$5*(1+A_pore*AB$6*($A95/100))/(1-AB$6*(1+((1-phimax_pore)/phimax_pore^2)*($A95/100))*($A95/100))</f>
        <v>0.0379559077242698</v>
      </c>
      <c r="AC95" s="9" t="n">
        <f aca="false">AC$5*(1+A_pore*AC$6*($A95/100))/(1-AC$6*(1+((1-phimax_pore)/phimax_pore^2)*($A95/100))*($A95/100))</f>
        <v>0.0389330261513924</v>
      </c>
      <c r="AD95" s="9" t="n">
        <f aca="false">AD$5*(1+A_pore*AD$6*($A95/100))/(1-AD$6*(1+((1-phimax_pore)/phimax_pore^2)*($A95/100))*($A95/100))</f>
        <v>0.0401092963329495</v>
      </c>
      <c r="AE95" s="9" t="n">
        <f aca="false">AE$5*(1+A_pore*AE$6*($A95/100))/(1-AE$6*(1+((1-phimax_pore)/phimax_pore^2)*($A95/100))*($A95/100))</f>
        <v>0.0415557065457294</v>
      </c>
      <c r="AF95" s="9" t="n">
        <f aca="false">AF$5*(1+A_pore*AF$6*($A95/100))/(1-AF$6*(1+((1-phimax_pore)/phimax_pore^2)*($A95/100))*($A95/100))</f>
        <v>0.043381413079275</v>
      </c>
      <c r="AG95" s="9" t="n">
        <f aca="false">AG$5*(1+A_pore*AG$6*($A95/100))/(1-AG$6*(1+((1-phimax_pore)/phimax_pore^2)*($A95/100))*($A95/100))</f>
        <v>0.0457633936902984</v>
      </c>
      <c r="AH95" s="9" t="n">
        <f aca="false">AH$5*(1+A_pore*AH$6*($A95/100))/(1-AH$6*(1+((1-phimax_pore)/phimax_pore^2)*($A95/100))*($A95/100))</f>
        <v>0.0490088303740738</v>
      </c>
      <c r="AI95" s="9" t="n">
        <f aca="false">AI$5*(1+A_pore*AI$6*($A95/100))/(1-AI$6*(1+((1-phimax_pore)/phimax_pore^2)*($A95/100))*($A95/100))</f>
        <v>0.053701867341783</v>
      </c>
      <c r="AJ95" s="9" t="n">
        <f aca="false">AJ$5*(1+A_pore*AJ$6*($A95/100))/(1-AJ$6*(1+((1-phimax_pore)/phimax_pore^2)*($A95/100))*($A95/100))</f>
        <v>0.0611066337469977</v>
      </c>
      <c r="AK95" s="9" t="n">
        <f aca="false">AK$5*(1+A_pore*AK$6*($A95/100))/(1-AK$6*(1+((1-phimax_pore)/phimax_pore^2)*($A95/100))*($A95/100))</f>
        <v>0.074562899319954</v>
      </c>
    </row>
    <row r="96" customFormat="false" ht="15" hidden="false" customHeight="false" outlineLevel="0" collapsed="false">
      <c r="A96" s="4" t="n">
        <v>87</v>
      </c>
      <c r="B96" s="9" t="n">
        <f aca="false">B$5*(1+A_pore*B$6*($A96/100))/(1-B$6*(1+((1-phimax_pore)/phimax_pore^2)*($A96/100))*($A96/100))</f>
        <v>0.0295235974988135</v>
      </c>
      <c r="C96" s="9" t="n">
        <f aca="false">C$5*(1+A_pore*C$6*($A96/100))/(1-C$6*(1+((1-phimax_pore)/phimax_pore^2)*($A96/100))*($A96/100))</f>
        <v>0.0296719515350462</v>
      </c>
      <c r="D96" s="9" t="n">
        <f aca="false">D$5*(1+A_pore*D$6*($A96/100))/(1-D$6*(1+((1-phimax_pore)/phimax_pore^2)*($A96/100))*($A96/100))</f>
        <v>0.0298198922606953</v>
      </c>
      <c r="E96" s="9" t="n">
        <f aca="false">E$5*(1+A_pore*E$6*($A96/100))/(1-E$6*(1+((1-phimax_pore)/phimax_pore^2)*($A96/100))*($A96/100))</f>
        <v>0.0299684226676159</v>
      </c>
      <c r="F96" s="9" t="n">
        <f aca="false">F$5*(1+A_pore*F$6*($A96/100))/(1-F$6*(1+((1-phimax_pore)/phimax_pore^2)*($A96/100))*($A96/100))</f>
        <v>0.0301184824509006</v>
      </c>
      <c r="G96" s="9" t="n">
        <f aca="false">G$5*(1+A_pore*G$6*($A96/100))/(1-G$6*(1+((1-phimax_pore)/phimax_pore^2)*($A96/100))*($A96/100))</f>
        <v>0.0302709769922297</v>
      </c>
      <c r="H96" s="9" t="n">
        <f aca="false">H$5*(1+A_pore*H$6*($A96/100))/(1-H$6*(1+((1-phimax_pore)/phimax_pore^2)*($A96/100))*($A96/100))</f>
        <v>0.0304268024222457</v>
      </c>
      <c r="I96" s="9" t="n">
        <f aca="false">I$5*(1+A_pore*I$6*($A96/100))/(1-I$6*(1+((1-phimax_pore)/phimax_pore^2)*($A96/100))*($A96/100))</f>
        <v>0.0305868684514477</v>
      </c>
      <c r="J96" s="9" t="n">
        <f aca="false">J$5*(1+A_pore*J$6*($A96/100))/(1-J$6*(1+((1-phimax_pore)/phimax_pore^2)*($A96/100))*($A96/100))</f>
        <v>0.0307521203352407</v>
      </c>
      <c r="K96" s="9" t="n">
        <f aca="false">K$5*(1+A_pore*K$6*($A96/100))/(1-K$6*(1+((1-phimax_pore)/phimax_pore^2)*($A96/100))*($A96/100))</f>
        <v>0.0309235611695178</v>
      </c>
      <c r="L96" s="9" t="n">
        <f aca="false">L$5*(1+A_pore*L$6*($A96/100))/(1-L$6*(1+((1-phimax_pore)/phimax_pore^2)*($A96/100))*($A96/100))</f>
        <v>0.0311022756641195</v>
      </c>
      <c r="M96" s="9" t="n">
        <f aca="false">M$5*(1+A_pore*M$6*($A96/100))/(1-M$6*(1+((1-phimax_pore)/phimax_pore^2)*($A96/100))*($A96/100))</f>
        <v>0.0312894565981512</v>
      </c>
      <c r="N96" s="9" t="n">
        <f aca="false">N$5*(1+A_pore*N$6*($A96/100))/(1-N$6*(1+((1-phimax_pore)/phimax_pore^2)*($A96/100))*($A96/100))</f>
        <v>0.0314864353244404</v>
      </c>
      <c r="O96" s="9" t="n">
        <f aca="false">O$5*(1+A_pore*O$6*($A96/100))/(1-O$6*(1+((1-phimax_pore)/phimax_pore^2)*($A96/100))*($A96/100))</f>
        <v>0.0316947179761821</v>
      </c>
      <c r="P96" s="9" t="n">
        <f aca="false">P$5*(1+A_pore*P$6*($A96/100))/(1-P$6*(1+((1-phimax_pore)/phimax_pore^2)*($A96/100))*($A96/100))</f>
        <v>0.0319160294698439</v>
      </c>
      <c r="Q96" s="9" t="n">
        <f aca="false">Q$5*(1+A_pore*Q$6*($A96/100))/(1-Q$6*(1+((1-phimax_pore)/phimax_pore^2)*($A96/100))*($A96/100))</f>
        <v>0.0321523680500422</v>
      </c>
      <c r="R96" s="9" t="n">
        <f aca="false">R$5*(1+A_pore*R$6*($A96/100))/(1-R$6*(1+((1-phimax_pore)/phimax_pore^2)*($A96/100))*($A96/100))</f>
        <v>0.032406074072642</v>
      </c>
      <c r="S96" s="9" t="n">
        <f aca="false">S$5*(1+A_pore*S$6*($A96/100))/(1-S$6*(1+((1-phimax_pore)/phimax_pore^2)*($A96/100))*($A96/100))</f>
        <v>0.0326799181107402</v>
      </c>
      <c r="T96" s="9" t="n">
        <f aca="false">T$5*(1+A_pore*T$6*($A96/100))/(1-T$6*(1+((1-phimax_pore)/phimax_pore^2)*($A96/100))*($A96/100))</f>
        <v>0.0329772155143299</v>
      </c>
      <c r="U96" s="9" t="n">
        <f aca="false">U$5*(1+A_pore*U$6*($A96/100))/(1-U$6*(1+((1-phimax_pore)/phimax_pore^2)*($A96/100))*($A96/100))</f>
        <v>0.0333019776110093</v>
      </c>
      <c r="V96" s="9" t="n">
        <f aca="false">V$5*(1+A_pore*V$6*($A96/100))/(1-V$6*(1+((1-phimax_pore)/phimax_pore^2)*($A96/100))*($A96/100))</f>
        <v>0.0336591143784846</v>
      </c>
      <c r="W96" s="9" t="n">
        <f aca="false">W$5*(1+A_pore*W$6*($A96/100))/(1-W$6*(1+((1-phimax_pore)/phimax_pore^2)*($A96/100))*($A96/100))</f>
        <v>0.0340547106128905</v>
      </c>
      <c r="X96" s="9" t="n">
        <f aca="false">X$5*(1+A_pore*X$6*($A96/100))/(1-X$6*(1+((1-phimax_pore)/phimax_pore^2)*($A96/100))*($A96/100))</f>
        <v>0.0344964090101224</v>
      </c>
      <c r="Y96" s="9" t="n">
        <f aca="false">Y$5*(1+A_pore*Y$6*($A96/100))/(1-Y$6*(1+((1-phimax_pore)/phimax_pore^2)*($A96/100))*($A96/100))</f>
        <v>0.0349939520782881</v>
      </c>
      <c r="Z96" s="9" t="n">
        <f aca="false">Z$5*(1+A_pore*Z$6*($A96/100))/(1-Z$6*(1+((1-phimax_pore)/phimax_pore^2)*($A96/100))*($A96/100))</f>
        <v>0.0355599656968773</v>
      </c>
      <c r="AA96" s="9" t="n">
        <f aca="false">AA$5*(1+A_pore*AA$6*($A96/100))/(1-AA$6*(1+((1-phimax_pore)/phimax_pore^2)*($A96/100))*($A96/100))</f>
        <v>0.0362111203995908</v>
      </c>
      <c r="AB96" s="9" t="n">
        <f aca="false">AB$5*(1+A_pore*AB$6*($A96/100))/(1-AB$6*(1+((1-phimax_pore)/phimax_pore^2)*($A96/100))*($A96/100))</f>
        <v>0.0369699016376896</v>
      </c>
      <c r="AC96" s="9" t="n">
        <f aca="false">AC$5*(1+A_pore*AC$6*($A96/100))/(1-AC$6*(1+((1-phimax_pore)/phimax_pore^2)*($A96/100))*($A96/100))</f>
        <v>0.0378673975455241</v>
      </c>
      <c r="AD96" s="9" t="n">
        <f aca="false">AD$5*(1+A_pore*AD$6*($A96/100))/(1-AD$6*(1+((1-phimax_pore)/phimax_pore^2)*($A96/100))*($A96/100))</f>
        <v>0.0389478590694236</v>
      </c>
      <c r="AE96" s="9" t="n">
        <f aca="false">AE$5*(1+A_pore*AE$6*($A96/100))/(1-AE$6*(1+((1-phimax_pore)/phimax_pore^2)*($A96/100))*($A96/100))</f>
        <v>0.0402765031534489</v>
      </c>
      <c r="AF96" s="9" t="n">
        <f aca="false">AF$5*(1+A_pore*AF$6*($A96/100))/(1-AF$6*(1+((1-phimax_pore)/phimax_pore^2)*($A96/100))*($A96/100))</f>
        <v>0.0419536118919244</v>
      </c>
      <c r="AG96" s="9" t="n">
        <f aca="false">AG$5*(1+A_pore*AG$6*($A96/100))/(1-AG$6*(1+((1-phimax_pore)/phimax_pore^2)*($A96/100))*($A96/100))</f>
        <v>0.044141775294653</v>
      </c>
      <c r="AH96" s="9" t="n">
        <f aca="false">AH$5*(1+A_pore*AH$6*($A96/100))/(1-AH$6*(1+((1-phimax_pore)/phimax_pore^2)*($A96/100))*($A96/100))</f>
        <v>0.0471232026286407</v>
      </c>
      <c r="AI96" s="9" t="n">
        <f aca="false">AI$5*(1+A_pore*AI$6*($A96/100))/(1-AI$6*(1+((1-phimax_pore)/phimax_pore^2)*($A96/100))*($A96/100))</f>
        <v>0.051434549655681</v>
      </c>
      <c r="AJ96" s="9" t="n">
        <f aca="false">AJ$5*(1+A_pore*AJ$6*($A96/100))/(1-AJ$6*(1+((1-phimax_pore)/phimax_pore^2)*($A96/100))*($A96/100))</f>
        <v>0.0582371774917589</v>
      </c>
      <c r="AK96" s="9" t="n">
        <f aca="false">AK$5*(1+A_pore*AK$6*($A96/100))/(1-AK$6*(1+((1-phimax_pore)/phimax_pore^2)*($A96/100))*($A96/100))</f>
        <v>0.0705993479541768</v>
      </c>
    </row>
    <row r="97" customFormat="false" ht="15" hidden="false" customHeight="false" outlineLevel="0" collapsed="false">
      <c r="A97" s="4" t="n">
        <v>88</v>
      </c>
      <c r="B97" s="9" t="n">
        <f aca="false">B$5*(1+A_pore*B$6*($A97/100))/(1-B$6*(1+((1-phimax_pore)/phimax_pore^2)*($A97/100))*($A97/100))</f>
        <v>0.0292105548688937</v>
      </c>
      <c r="C97" s="9" t="n">
        <f aca="false">C$5*(1+A_pore*C$6*($A97/100))/(1-C$6*(1+((1-phimax_pore)/phimax_pore^2)*($A97/100))*($A97/100))</f>
        <v>0.0293455040029153</v>
      </c>
      <c r="D97" s="9" t="n">
        <f aca="false">D$5*(1+A_pore*D$6*($A97/100))/(1-D$6*(1+((1-phimax_pore)/phimax_pore^2)*($A97/100))*($A97/100))</f>
        <v>0.0294801112417257</v>
      </c>
      <c r="E97" s="9" t="n">
        <f aca="false">E$5*(1+A_pore*E$6*($A97/100))/(1-E$6*(1+((1-phimax_pore)/phimax_pore^2)*($A97/100))*($A97/100))</f>
        <v>0.0296152894535554</v>
      </c>
      <c r="F97" s="9" t="n">
        <f aca="false">F$5*(1+A_pore*F$6*($A97/100))/(1-F$6*(1+((1-phimax_pore)/phimax_pore^2)*($A97/100))*($A97/100))</f>
        <v>0.0297518939775392</v>
      </c>
      <c r="G97" s="9" t="n">
        <f aca="false">G$5*(1+A_pore*G$6*($A97/100))/(1-G$6*(1+((1-phimax_pore)/phimax_pore^2)*($A97/100))*($A97/100))</f>
        <v>0.029890749090398</v>
      </c>
      <c r="H97" s="9" t="n">
        <f aca="false">H$5*(1+A_pore*H$6*($A97/100))/(1-H$6*(1+((1-phimax_pore)/phimax_pore^2)*($A97/100))*($A97/100))</f>
        <v>0.0300326708812205</v>
      </c>
      <c r="I97" s="9" t="n">
        <f aca="false">I$5*(1+A_pore*I$6*($A97/100))/(1-I$6*(1+((1-phimax_pore)/phimax_pore^2)*($A97/100))*($A97/100))</f>
        <v>0.0301784880833572</v>
      </c>
      <c r="J97" s="9" t="n">
        <f aca="false">J$5*(1+A_pore*J$6*($A97/100))/(1-J$6*(1+((1-phimax_pore)/phimax_pore^2)*($A97/100))*($A97/100))</f>
        <v>0.0303290621140517</v>
      </c>
      <c r="K97" s="9" t="n">
        <f aca="false">K$5*(1+A_pore*K$6*($A97/100))/(1-K$6*(1+((1-phimax_pore)/phimax_pore^2)*($A97/100))*($A97/100))</f>
        <v>0.0304853074163403</v>
      </c>
      <c r="L97" s="9" t="n">
        <f aca="false">L$5*(1+A_pore*L$6*($A97/100))/(1-L$6*(1+((1-phimax_pore)/phimax_pore^2)*($A97/100))*($A97/100))</f>
        <v>0.0306482131520964</v>
      </c>
      <c r="M97" s="9" t="n">
        <f aca="false">M$5*(1+A_pore*M$6*($A97/100))/(1-M$6*(1+((1-phimax_pore)/phimax_pore^2)*($A97/100))*($A97/100))</f>
        <v>0.0308188673463234</v>
      </c>
      <c r="N97" s="9" t="n">
        <f aca="false">N$5*(1+A_pore*N$6*($A97/100))/(1-N$6*(1+((1-phimax_pore)/phimax_pore^2)*($A97/100))*($A97/100))</f>
        <v>0.030998484731665</v>
      </c>
      <c r="O97" s="9" t="n">
        <f aca="false">O$5*(1+A_pore*O$6*($A97/100))/(1-O$6*(1+((1-phimax_pore)/phimax_pore^2)*($A97/100))*($A97/100))</f>
        <v>0.0311884398029569</v>
      </c>
      <c r="P97" s="9" t="n">
        <f aca="false">P$5*(1+A_pore*P$6*($A97/100))/(1-P$6*(1+((1-phimax_pore)/phimax_pore^2)*($A97/100))*($A97/100))</f>
        <v>0.0313903069943747</v>
      </c>
      <c r="Q97" s="9" t="n">
        <f aca="false">Q$5*(1+A_pore*Q$6*($A97/100))/(1-Q$6*(1+((1-phimax_pore)/phimax_pore^2)*($A97/100))*($A97/100))</f>
        <v>0.0316059104868848</v>
      </c>
      <c r="R97" s="9" t="n">
        <f aca="false">R$5*(1+A_pore*R$6*($A97/100))/(1-R$6*(1+((1-phimax_pore)/phimax_pore^2)*($A97/100))*($A97/100))</f>
        <v>0.0318373870218853</v>
      </c>
      <c r="S97" s="9" t="n">
        <f aca="false">S$5*(1+A_pore*S$6*($A97/100))/(1-S$6*(1+((1-phimax_pore)/phimax_pore^2)*($A97/100))*($A97/100))</f>
        <v>0.0320872663650549</v>
      </c>
      <c r="T97" s="9" t="n">
        <f aca="false">T$5*(1+A_pore*T$6*($A97/100))/(1-T$6*(1+((1-phimax_pore)/phimax_pore^2)*($A97/100))*($A97/100))</f>
        <v>0.0323585759333182</v>
      </c>
      <c r="U97" s="9" t="n">
        <f aca="false">U$5*(1+A_pore*U$6*($A97/100))/(1-U$6*(1+((1-phimax_pore)/phimax_pore^2)*($A97/100))*($A97/100))</f>
        <v>0.0326549788896189</v>
      </c>
      <c r="V97" s="9" t="n">
        <f aca="false">V$5*(1+A_pore*V$6*($A97/100))/(1-V$6*(1+((1-phimax_pore)/phimax_pore^2)*($A97/100))*($A97/100))</f>
        <v>0.0329809592513411</v>
      </c>
      <c r="W97" s="9" t="n">
        <f aca="false">W$5*(1+A_pore*W$6*($A97/100))/(1-W$6*(1+((1-phimax_pore)/phimax_pore^2)*($A97/100))*($A97/100))</f>
        <v>0.0333420741283418</v>
      </c>
      <c r="X97" s="9" t="n">
        <f aca="false">X$5*(1+A_pore*X$6*($A97/100))/(1-X$6*(1+((1-phimax_pore)/phimax_pore^2)*($A97/100))*($A97/100))</f>
        <v>0.0337453036127595</v>
      </c>
      <c r="Y97" s="9" t="n">
        <f aca="false">Y$5*(1+A_pore*Y$6*($A97/100))/(1-Y$6*(1+((1-phimax_pore)/phimax_pore^2)*($A97/100))*($A97/100))</f>
        <v>0.0341995457409389</v>
      </c>
      <c r="Z97" s="9" t="n">
        <f aca="false">Z$5*(1+A_pore*Z$6*($A97/100))/(1-Z$6*(1+((1-phimax_pore)/phimax_pore^2)*($A97/100))*($A97/100))</f>
        <v>0.0347163321686647</v>
      </c>
      <c r="AA97" s="9" t="n">
        <f aca="false">AA$5*(1+A_pore*AA$6*($A97/100))/(1-AA$6*(1+((1-phimax_pore)/phimax_pore^2)*($A97/100))*($A97/100))</f>
        <v>0.0353108888482007</v>
      </c>
      <c r="AB97" s="9" t="n">
        <f aca="false">AB$5*(1+A_pore*AB$6*($A97/100))/(1-AB$6*(1+((1-phimax_pore)/phimax_pore^2)*($A97/100))*($A97/100))</f>
        <v>0.0360037529300998</v>
      </c>
      <c r="AC97" s="9" t="n">
        <f aca="false">AC$5*(1+A_pore*AC$6*($A97/100))/(1-AC$6*(1+((1-phimax_pore)/phimax_pore^2)*($A97/100))*($A97/100))</f>
        <v>0.0368233190210619</v>
      </c>
      <c r="AD97" s="9" t="n">
        <f aca="false">AD$5*(1+A_pore*AD$6*($A97/100))/(1-AD$6*(1+((1-phimax_pore)/phimax_pore^2)*($A97/100))*($A97/100))</f>
        <v>0.0378100042651633</v>
      </c>
      <c r="AE97" s="9" t="n">
        <f aca="false">AE$5*(1+A_pore*AE$6*($A97/100))/(1-AE$6*(1+((1-phimax_pore)/phimax_pore^2)*($A97/100))*($A97/100))</f>
        <v>0.0390233755353733</v>
      </c>
      <c r="AF97" s="9" t="n">
        <f aca="false">AF$5*(1+A_pore*AF$6*($A97/100))/(1-AF$6*(1+((1-phimax_pore)/phimax_pore^2)*($A97/100))*($A97/100))</f>
        <v>0.0405550271708861</v>
      </c>
      <c r="AG97" s="9" t="n">
        <f aca="false">AG$5*(1+A_pore*AG$6*($A97/100))/(1-AG$6*(1+((1-phimax_pore)/phimax_pore^2)*($A97/100))*($A97/100))</f>
        <v>0.0425534636928455</v>
      </c>
      <c r="AH97" s="9" t="n">
        <f aca="false">AH$5*(1+A_pore*AH$6*($A97/100))/(1-AH$6*(1+((1-phimax_pore)/phimax_pore^2)*($A97/100))*($A97/100))</f>
        <v>0.0452764462483705</v>
      </c>
      <c r="AI97" s="9" t="n">
        <f aca="false">AI$5*(1+A_pore*AI$6*($A97/100))/(1-AI$6*(1+((1-phimax_pore)/phimax_pore^2)*($A97/100))*($A97/100))</f>
        <v>0.0492141397289362</v>
      </c>
      <c r="AJ97" s="9" t="n">
        <f aca="false">AJ$5*(1+A_pore*AJ$6*($A97/100))/(1-AJ$6*(1+((1-phimax_pore)/phimax_pore^2)*($A97/100))*($A97/100))</f>
        <v>0.0554272960097829</v>
      </c>
      <c r="AK97" s="9" t="n">
        <f aca="false">AK$5*(1+A_pore*AK$6*($A97/100))/(1-AK$6*(1+((1-phimax_pore)/phimax_pore^2)*($A97/100))*($A97/100))</f>
        <v>0.0667183723886381</v>
      </c>
    </row>
    <row r="98" customFormat="false" ht="15" hidden="false" customHeight="false" outlineLevel="0" collapsed="false">
      <c r="A98" s="4" t="n">
        <v>89</v>
      </c>
      <c r="B98" s="9" t="n">
        <f aca="false">B$5*(1+A_pore*B$6*($A98/100))/(1-B$6*(1+((1-phimax_pore)/phimax_pore^2)*($A98/100))*($A98/100))</f>
        <v>0.0289024571385337</v>
      </c>
      <c r="C98" s="9" t="n">
        <f aca="false">C$5*(1+A_pore*C$6*($A98/100))/(1-C$6*(1+((1-phimax_pore)/phimax_pore^2)*($A98/100))*($A98/100))</f>
        <v>0.0290243208685243</v>
      </c>
      <c r="D98" s="9" t="n">
        <f aca="false">D$5*(1+A_pore*D$6*($A98/100))/(1-D$6*(1+((1-phimax_pore)/phimax_pore^2)*($A98/100))*($A98/100))</f>
        <v>0.0291459117892956</v>
      </c>
      <c r="E98" s="9" t="n">
        <f aca="false">E$5*(1+A_pore*E$6*($A98/100))/(1-E$6*(1+((1-phimax_pore)/phimax_pore^2)*($A98/100))*($A98/100))</f>
        <v>0.0292680543222883</v>
      </c>
      <c r="F98" s="9" t="n">
        <f aca="false">F$5*(1+A_pore*F$6*($A98/100))/(1-F$6*(1+((1-phimax_pore)/phimax_pore^2)*($A98/100))*($A98/100))</f>
        <v>0.0293915210930273</v>
      </c>
      <c r="G98" s="9" t="n">
        <f aca="false">G$5*(1+A_pore*G$6*($A98/100))/(1-G$6*(1+((1-phimax_pore)/phimax_pore^2)*($A98/100))*($A98/100))</f>
        <v>0.0295170569060588</v>
      </c>
      <c r="H98" s="9" t="n">
        <f aca="false">H$5*(1+A_pore*H$6*($A98/100))/(1-H$6*(1+((1-phimax_pore)/phimax_pore^2)*($A98/100))*($A98/100))</f>
        <v>0.0296453994589029</v>
      </c>
      <c r="I98" s="9" t="n">
        <f aca="false">I$5*(1+A_pore*I$6*($A98/100))/(1-I$6*(1+((1-phimax_pore)/phimax_pore^2)*($A98/100))*($A98/100))</f>
        <v>0.0297772982036154</v>
      </c>
      <c r="J98" s="9" t="n">
        <f aca="false">J$5*(1+A_pore*J$6*($A98/100))/(1-J$6*(1+((1-phimax_pore)/phimax_pore^2)*($A98/100))*($A98/100))</f>
        <v>0.029913532492097</v>
      </c>
      <c r="K98" s="9" t="n">
        <f aca="false">K$5*(1+A_pore*K$6*($A98/100))/(1-K$6*(1+((1-phimax_pore)/phimax_pore^2)*($A98/100))*($A98/100))</f>
        <v>0.0300549299987128</v>
      </c>
      <c r="L98" s="9" t="n">
        <f aca="false">L$5*(1+A_pore*L$6*($A98/100))/(1-L$6*(1+((1-phimax_pore)/phimax_pore^2)*($A98/100))*($A98/100))</f>
        <v>0.0302023863718435</v>
      </c>
      <c r="M98" s="9" t="n">
        <f aca="false">M$5*(1+A_pore*M$6*($A98/100))/(1-M$6*(1+((1-phimax_pore)/phimax_pore^2)*($A98/100))*($A98/100))</f>
        <v>0.0303568871121843</v>
      </c>
      <c r="N98" s="9" t="n">
        <f aca="false">N$5*(1+A_pore*N$6*($A98/100))/(1-N$6*(1+((1-phimax_pore)/phimax_pore^2)*($A98/100))*($A98/100))</f>
        <v>0.0305195328105202</v>
      </c>
      <c r="O98" s="9" t="n">
        <f aca="false">O$5*(1+A_pore*O$6*($A98/100))/(1-O$6*(1+((1-phimax_pore)/phimax_pore^2)*($A98/100))*($A98/100))</f>
        <v>0.0306915691142826</v>
      </c>
      <c r="P98" s="9" t="n">
        <f aca="false">P$5*(1+A_pore*P$6*($A98/100))/(1-P$6*(1+((1-phimax_pore)/phimax_pore^2)*($A98/100))*($A98/100))</f>
        <v>0.0308744231575096</v>
      </c>
      <c r="Q98" s="9" t="n">
        <f aca="false">Q$5*(1+A_pore*Q$6*($A98/100))/(1-Q$6*(1+((1-phimax_pore)/phimax_pore^2)*($A98/100))*($A98/100))</f>
        <v>0.0310697487287277</v>
      </c>
      <c r="R98" s="9" t="n">
        <f aca="false">R$5*(1+A_pore*R$6*($A98/100))/(1-R$6*(1+((1-phimax_pore)/phimax_pore^2)*($A98/100))*($A98/100))</f>
        <v>0.031279483238843</v>
      </c>
      <c r="S98" s="9" t="n">
        <f aca="false">S$5*(1+A_pore*S$6*($A98/100))/(1-S$6*(1+((1-phimax_pore)/phimax_pore^2)*($A98/100))*($A98/100))</f>
        <v>0.0315059207015122</v>
      </c>
      <c r="T98" s="9" t="n">
        <f aca="false">T$5*(1+A_pore*T$6*($A98/100))/(1-T$6*(1+((1-phimax_pore)/phimax_pore^2)*($A98/100))*($A98/100))</f>
        <v>0.0317518066338112</v>
      </c>
      <c r="U98" s="9" t="n">
        <f aca="false">U$5*(1+A_pore*U$6*($A98/100))/(1-U$6*(1+((1-phimax_pore)/phimax_pore^2)*($A98/100))*($A98/100))</f>
        <v>0.0320204633175424</v>
      </c>
      <c r="V98" s="9" t="n">
        <f aca="false">V$5*(1+A_pore*V$6*($A98/100))/(1-V$6*(1+((1-phimax_pore)/phimax_pore^2)*($A98/100))*($A98/100))</f>
        <v>0.0323159577087988</v>
      </c>
      <c r="W98" s="9" t="n">
        <f aca="false">W$5*(1+A_pore*W$6*($A98/100))/(1-W$6*(1+((1-phimax_pore)/phimax_pore^2)*($A98/100))*($A98/100))</f>
        <v>0.0326433302433523</v>
      </c>
      <c r="X98" s="9" t="n">
        <f aca="false">X$5*(1+A_pore*X$6*($A98/100))/(1-X$6*(1+((1-phimax_pore)/phimax_pore^2)*($A98/100))*($A98/100))</f>
        <v>0.0330089122251755</v>
      </c>
      <c r="Y98" s="9" t="n">
        <f aca="false">Y$5*(1+A_pore*Y$6*($A98/100))/(1-Y$6*(1+((1-phimax_pore)/phimax_pore^2)*($A98/100))*($A98/100))</f>
        <v>0.0334207748141952</v>
      </c>
      <c r="Z98" s="9" t="n">
        <f aca="false">Z$5*(1+A_pore*Z$6*($A98/100))/(1-Z$6*(1+((1-phimax_pore)/phimax_pore^2)*($A98/100))*($A98/100))</f>
        <v>0.0338893782292291</v>
      </c>
      <c r="AA98" s="9" t="n">
        <f aca="false">AA$5*(1+A_pore*AA$6*($A98/100))/(1-AA$6*(1+((1-phimax_pore)/phimax_pore^2)*($A98/100))*($A98/100))</f>
        <v>0.0344285339112781</v>
      </c>
      <c r="AB98" s="9" t="n">
        <f aca="false">AB$5*(1+A_pore*AB$6*($A98/100))/(1-AB$6*(1+((1-phimax_pore)/phimax_pore^2)*($A98/100))*($A98/100))</f>
        <v>0.0350568712528136</v>
      </c>
      <c r="AC98" s="9" t="n">
        <f aca="false">AC$5*(1+A_pore*AC$6*($A98/100))/(1-AC$6*(1+((1-phimax_pore)/phimax_pore^2)*($A98/100))*($A98/100))</f>
        <v>0.0358001473698358</v>
      </c>
      <c r="AD98" s="9" t="n">
        <f aca="false">AD$5*(1+A_pore*AD$6*($A98/100))/(1-AD$6*(1+((1-phimax_pore)/phimax_pore^2)*($A98/100))*($A98/100))</f>
        <v>0.0366950253499287</v>
      </c>
      <c r="AE98" s="9" t="n">
        <f aca="false">AE$5*(1+A_pore*AE$6*($A98/100))/(1-AE$6*(1+((1-phimax_pore)/phimax_pore^2)*($A98/100))*($A98/100))</f>
        <v>0.0377955395058553</v>
      </c>
      <c r="AF98" s="9" t="n">
        <f aca="false">AF$5*(1+A_pore*AF$6*($A98/100))/(1-AF$6*(1+((1-phimax_pore)/phimax_pore^2)*($A98/100))*($A98/100))</f>
        <v>0.0391847770951459</v>
      </c>
      <c r="AG98" s="9" t="n">
        <f aca="false">AG$5*(1+A_pore*AG$6*($A98/100))/(1-AG$6*(1+((1-phimax_pore)/phimax_pore^2)*($A98/100))*($A98/100))</f>
        <v>0.0409974500598481</v>
      </c>
      <c r="AH98" s="9" t="n">
        <f aca="false">AH$5*(1+A_pore*AH$6*($A98/100))/(1-AH$6*(1+((1-phimax_pore)/phimax_pore^2)*($A98/100))*($A98/100))</f>
        <v>0.043467379809977</v>
      </c>
      <c r="AI98" s="9" t="n">
        <f aca="false">AI$5*(1+A_pore*AI$6*($A98/100))/(1-AI$6*(1+((1-phimax_pore)/phimax_pore^2)*($A98/100))*($A98/100))</f>
        <v>0.0470392070920002</v>
      </c>
      <c r="AJ98" s="9" t="n">
        <f aca="false">AJ$5*(1+A_pore*AJ$6*($A98/100))/(1-AJ$6*(1+((1-phimax_pore)/phimax_pore^2)*($A98/100))*($A98/100))</f>
        <v>0.0526751665690585</v>
      </c>
      <c r="AK98" s="9" t="n">
        <f aca="false">AK$5*(1+A_pore*AK$6*($A98/100))/(1-AK$6*(1+((1-phimax_pore)/phimax_pore^2)*($A98/100))*($A98/100))</f>
        <v>0.0629174380163141</v>
      </c>
    </row>
    <row r="99" customFormat="false" ht="15" hidden="false" customHeight="false" outlineLevel="0" collapsed="false">
      <c r="A99" s="4" t="n">
        <v>90</v>
      </c>
      <c r="B99" s="9" t="n">
        <f aca="false">B$5*(1+A_pore*B$6*($A99/100))/(1-B$6*(1+((1-phimax_pore)/phimax_pore^2)*($A99/100))*($A99/100))</f>
        <v>0.0285991884248063</v>
      </c>
      <c r="C99" s="9" t="n">
        <f aca="false">C$5*(1+A_pore*C$6*($A99/100))/(1-C$6*(1+((1-phimax_pore)/phimax_pore^2)*($A99/100))*($A99/100))</f>
        <v>0.0287082762145622</v>
      </c>
      <c r="D99" s="9" t="n">
        <f aca="false">D$5*(1+A_pore*D$6*($A99/100))/(1-D$6*(1+((1-phimax_pore)/phimax_pore^2)*($A99/100))*($A99/100))</f>
        <v>0.0288171579428935</v>
      </c>
      <c r="E99" s="9" t="n">
        <f aca="false">E$5*(1+A_pore*E$6*($A99/100))/(1-E$6*(1+((1-phimax_pore)/phimax_pore^2)*($A99/100))*($A99/100))</f>
        <v>0.0289265712292981</v>
      </c>
      <c r="F99" s="9" t="n">
        <f aca="false">F$5*(1+A_pore*F$6*($A99/100))/(1-F$6*(1+((1-phimax_pore)/phimax_pore^2)*($A99/100))*($A99/100))</f>
        <v>0.0290372075927551</v>
      </c>
      <c r="G99" s="9" t="n">
        <f aca="false">G$5*(1+A_pore*G$6*($A99/100))/(1-G$6*(1+((1-phimax_pore)/phimax_pore^2)*($A99/100))*($A99/100))</f>
        <v>0.0291497339600941</v>
      </c>
      <c r="H99" s="9" t="n">
        <f aca="false">H$5*(1+A_pore*H$6*($A99/100))/(1-H$6*(1+((1-phimax_pore)/phimax_pore^2)*($A99/100))*($A99/100))</f>
        <v>0.0292648112458244</v>
      </c>
      <c r="I99" s="9" t="n">
        <f aca="false">I$5*(1+A_pore*I$6*($A99/100))/(1-I$6*(1+((1-phimax_pore)/phimax_pore^2)*($A99/100))*($A99/100))</f>
        <v>0.0293831112717334</v>
      </c>
      <c r="J99" s="9" t="n">
        <f aca="false">J$5*(1+A_pore*J$6*($A99/100))/(1-J$6*(1+((1-phimax_pore)/phimax_pore^2)*($A99/100))*($A99/100))</f>
        <v>0.0295053330484604</v>
      </c>
      <c r="K99" s="9" t="n">
        <f aca="false">K$5*(1+A_pore*K$6*($A99/100))/(1-K$6*(1+((1-phimax_pore)/phimax_pore^2)*($A99/100))*($A99/100))</f>
        <v>0.0296322193125222</v>
      </c>
      <c r="L99" s="9" t="n">
        <f aca="false">L$5*(1+A_pore*L$6*($A99/100))/(1-L$6*(1+((1-phimax_pore)/phimax_pore^2)*($A99/100))*($A99/100))</f>
        <v>0.02976457417436</v>
      </c>
      <c r="M99" s="9" t="n">
        <f aca="false">M$5*(1+A_pore*M$6*($A99/100))/(1-M$6*(1+((1-phimax_pore)/phimax_pore^2)*($A99/100))*($A99/100))</f>
        <v>0.0299032827744995</v>
      </c>
      <c r="N99" s="9" t="n">
        <f aca="false">N$5*(1+A_pore*N$6*($A99/100))/(1-N$6*(1+((1-phimax_pore)/phimax_pore^2)*($A99/100))*($A99/100))</f>
        <v>0.0300493339663311</v>
      </c>
      <c r="O99" s="9" t="n">
        <f aca="false">O$5*(1+A_pore*O$6*($A99/100))/(1-O$6*(1+((1-phimax_pore)/phimax_pore^2)*($A99/100))*($A99/100))</f>
        <v>0.0302038472569283</v>
      </c>
      <c r="P99" s="9" t="n">
        <f aca="false">P$5*(1+A_pore*P$6*($A99/100))/(1-P$6*(1+((1-phimax_pore)/phimax_pore^2)*($A99/100))*($A99/100))</f>
        <v>0.0303681055660838</v>
      </c>
      <c r="Q99" s="9" t="n">
        <f aca="false">Q$5*(1+A_pore*Q$6*($A99/100))/(1-Q$6*(1+((1-phimax_pore)/phimax_pore^2)*($A99/100))*($A99/100))</f>
        <v>0.0305435958495569</v>
      </c>
      <c r="R99" s="9" t="n">
        <f aca="false">R$5*(1+A_pore*R$6*($A99/100))/(1-R$6*(1+((1-phimax_pore)/phimax_pore^2)*($A99/100))*($A99/100))</f>
        <v>0.0307320603411979</v>
      </c>
      <c r="S99" s="9" t="n">
        <f aca="false">S$5*(1+A_pore*S$6*($A99/100))/(1-S$6*(1+((1-phimax_pore)/phimax_pore^2)*($A99/100))*($A99/100))</f>
        <v>0.0309355622036886</v>
      </c>
      <c r="T99" s="9" t="n">
        <f aca="false">T$5*(1+A_pore*T$6*($A99/100))/(1-T$6*(1+((1-phimax_pore)/phimax_pore^2)*($A99/100))*($A99/100))</f>
        <v>0.0311565709030364</v>
      </c>
      <c r="U99" s="9" t="n">
        <f aca="false">U$5*(1+A_pore*U$6*($A99/100))/(1-U$6*(1+((1-phimax_pore)/phimax_pore^2)*($A99/100))*($A99/100))</f>
        <v>0.0313980749005747</v>
      </c>
      <c r="V99" s="9" t="n">
        <f aca="false">V$5*(1+A_pore*V$6*($A99/100))/(1-V$6*(1+((1-phimax_pore)/phimax_pore^2)*($A99/100))*($A99/100))</f>
        <v>0.0316637327177395</v>
      </c>
      <c r="W99" s="9" t="n">
        <f aca="false">W$5*(1+A_pore*W$6*($A99/100))/(1-W$6*(1+((1-phimax_pore)/phimax_pore^2)*($A99/100))*($A99/100))</f>
        <v>0.0319580787912392</v>
      </c>
      <c r="X99" s="9" t="n">
        <f aca="false">X$5*(1+A_pore*X$6*($A99/100))/(1-X$6*(1+((1-phimax_pore)/phimax_pore^2)*($A99/100))*($A99/100))</f>
        <v>0.0322868090294175</v>
      </c>
      <c r="Y99" s="9" t="n">
        <f aca="false">Y$5*(1+A_pore*Y$6*($A99/100))/(1-Y$6*(1+((1-phimax_pore)/phimax_pore^2)*($A99/100))*($A99/100))</f>
        <v>0.0326571847723104</v>
      </c>
      <c r="Z99" s="9" t="n">
        <f aca="false">Z$5*(1+A_pore*Z$6*($A99/100))/(1-Z$6*(1+((1-phimax_pore)/phimax_pore^2)*($A99/100))*($A99/100))</f>
        <v>0.0330786168907228</v>
      </c>
      <c r="AA99" s="9" t="n">
        <f aca="false">AA$5*(1+A_pore*AA$6*($A99/100))/(1-AA$6*(1+((1-phimax_pore)/phimax_pore^2)*($A99/100))*($A99/100))</f>
        <v>0.0335635314637824</v>
      </c>
      <c r="AB99" s="9" t="n">
        <f aca="false">AB$5*(1+A_pore*AB$6*($A99/100))/(1-AB$6*(1+((1-phimax_pore)/phimax_pore^2)*($A99/100))*($A99/100))</f>
        <v>0.0341286894271023</v>
      </c>
      <c r="AC99" s="9" t="n">
        <f aca="false">AC$5*(1+A_pore*AC$6*($A99/100))/(1-AC$6*(1+((1-phimax_pore)/phimax_pore^2)*($A99/100))*($A99/100))</f>
        <v>0.0347972647271831</v>
      </c>
      <c r="AD99" s="9" t="n">
        <f aca="false">AD$5*(1+A_pore*AD$6*($A99/100))/(1-AD$6*(1+((1-phimax_pore)/phimax_pore^2)*($A99/100))*($A99/100))</f>
        <v>0.0356022436993169</v>
      </c>
      <c r="AE99" s="9" t="n">
        <f aca="false">AE$5*(1+A_pore*AE$6*($A99/100))/(1-AE$6*(1+((1-phimax_pore)/phimax_pore^2)*($A99/100))*($A99/100))</f>
        <v>0.0365922420092739</v>
      </c>
      <c r="AF99" s="9" t="n">
        <f aca="false">AF$5*(1+A_pore*AF$6*($A99/100))/(1-AF$6*(1+((1-phimax_pore)/phimax_pore^2)*($A99/100))*($A99/100))</f>
        <v>0.0378420149751224</v>
      </c>
      <c r="AG99" s="9" t="n">
        <f aca="false">AG$5*(1+A_pore*AG$6*($A99/100))/(1-AG$6*(1+((1-phimax_pore)/phimax_pore^2)*($A99/100))*($A99/100))</f>
        <v>0.0394727659022466</v>
      </c>
      <c r="AH99" s="9" t="n">
        <f aca="false">AH$5*(1+A_pore*AH$6*($A99/100))/(1-AH$6*(1+((1-phimax_pore)/phimax_pore^2)*($A99/100))*($A99/100))</f>
        <v>0.0416948692829734</v>
      </c>
      <c r="AI99" s="9" t="n">
        <f aca="false">AI$5*(1+A_pore*AI$6*($A99/100))/(1-AI$6*(1+((1-phimax_pore)/phimax_pore^2)*($A99/100))*($A99/100))</f>
        <v>0.0449083788495725</v>
      </c>
      <c r="AJ99" s="9" t="n">
        <f aca="false">AJ$5*(1+A_pore*AJ$6*($A99/100))/(1-AJ$6*(1+((1-phimax_pore)/phimax_pore^2)*($A99/100))*($A99/100))</f>
        <v>0.0499790400385946</v>
      </c>
      <c r="AK99" s="9" t="n">
        <f aca="false">AK$5*(1+A_pore*AK$6*($A99/100))/(1-AK$6*(1+((1-phimax_pore)/phimax_pore^2)*($A99/100))*($A99/100))</f>
        <v>0.0591941129026818</v>
      </c>
    </row>
    <row r="100" customFormat="false" ht="15" hidden="false" customHeight="false" outlineLevel="0" collapsed="false">
      <c r="A100" s="4" t="n">
        <v>91</v>
      </c>
      <c r="B100" s="9" t="n">
        <f aca="false">B$5*(1+A_pore*B$6*($A100/100))/(1-B$6*(1+((1-phimax_pore)/phimax_pore^2)*($A100/100))*($A100/100))</f>
        <v>0.028300636437503</v>
      </c>
      <c r="C100" s="9" t="n">
        <f aca="false">C$5*(1+A_pore*C$6*($A100/100))/(1-C$6*(1+((1-phimax_pore)/phimax_pore^2)*($A100/100))*($A100/100))</f>
        <v>0.0283972481074895</v>
      </c>
      <c r="D100" s="9" t="n">
        <f aca="false">D$5*(1+A_pore*D$6*($A100/100))/(1-D$6*(1+((1-phimax_pore)/phimax_pore^2)*($A100/100))*($A100/100))</f>
        <v>0.028493718122051</v>
      </c>
      <c r="E100" s="9" t="n">
        <f aca="false">E$5*(1+A_pore*E$6*($A100/100))/(1-E$6*(1+((1-phimax_pore)/phimax_pore^2)*($A100/100))*($A100/100))</f>
        <v>0.0285906989120789</v>
      </c>
      <c r="F100" s="9" t="n">
        <f aca="false">F$5*(1+A_pore*F$6*($A100/100))/(1-F$6*(1+((1-phimax_pore)/phimax_pore^2)*($A100/100))*($A100/100))</f>
        <v>0.0286888024625395</v>
      </c>
      <c r="G100" s="9" t="n">
        <f aca="false">G$5*(1+A_pore*G$6*($A100/100))/(1-G$6*(1+((1-phimax_pore)/phimax_pore^2)*($A100/100))*($A100/100))</f>
        <v>0.028788619379665</v>
      </c>
      <c r="H100" s="9" t="n">
        <f aca="false">H$5*(1+A_pore*H$6*($A100/100))/(1-H$6*(1+((1-phimax_pore)/phimax_pore^2)*($A100/100))*($A100/100))</f>
        <v>0.0288907353632942</v>
      </c>
      <c r="I100" s="9" t="n">
        <f aca="false">I$5*(1+A_pore*I$6*($A100/100))/(1-I$6*(1+((1-phimax_pore)/phimax_pore^2)*($A100/100))*($A100/100))</f>
        <v>0.0289957462125729</v>
      </c>
      <c r="J100" s="9" t="n">
        <f aca="false">J$5*(1+A_pore*J$6*($A100/100))/(1-J$6*(1+((1-phimax_pore)/phimax_pore^2)*($A100/100))*($A100/100))</f>
        <v>0.0291042722738723</v>
      </c>
      <c r="K100" s="9" t="n">
        <f aca="false">K$5*(1+A_pore*K$6*($A100/100))/(1-K$6*(1+((1-phimax_pore)/phimax_pore^2)*($A100/100))*($A100/100))</f>
        <v>0.0292169731252101</v>
      </c>
      <c r="L100" s="9" t="n">
        <f aca="false">L$5*(1+A_pore*L$6*($A100/100))/(1-L$6*(1+((1-phimax_pore)/phimax_pore^2)*($A100/100))*($A100/100))</f>
        <v>0.0293345632578798</v>
      </c>
      <c r="M100" s="9" t="n">
        <f aca="false">M$5*(1+A_pore*M$6*($A100/100))/(1-M$6*(1+((1-phimax_pore)/phimax_pore^2)*($A100/100))*($A100/100))</f>
        <v>0.029457829553189</v>
      </c>
      <c r="N100" s="9" t="n">
        <f aca="false">N$5*(1+A_pore*N$6*($A100/100))/(1-N$6*(1+((1-phimax_pore)/phimax_pore^2)*($A100/100))*($A100/100))</f>
        <v>0.0295876514605645</v>
      </c>
      <c r="O100" s="9" t="n">
        <f aca="false">O$5*(1+A_pore*O$6*($A100/100))/(1-O$6*(1+((1-phimax_pore)/phimax_pore^2)*($A100/100))*($A100/100))</f>
        <v>0.0297250249731227</v>
      </c>
      <c r="P100" s="9" t="n">
        <f aca="false">P$5*(1+A_pore*P$6*($A100/100))/(1-P$6*(1+((1-phimax_pore)/phimax_pore^2)*($A100/100))*($A100/100))</f>
        <v>0.0298710917898206</v>
      </c>
      <c r="Q100" s="9" t="n">
        <f aca="false">Q$5*(1+A_pore*Q$6*($A100/100))/(1-Q$6*(1+((1-phimax_pore)/phimax_pore^2)*($A100/100))*($A100/100))</f>
        <v>0.0300271754862024</v>
      </c>
      <c r="R100" s="9" t="n">
        <f aca="false">R$5*(1+A_pore*R$6*($A100/100))/(1-R$6*(1+((1-phimax_pore)/phimax_pore^2)*($A100/100))*($A100/100))</f>
        <v>0.0301948271471587</v>
      </c>
      <c r="S100" s="9" t="n">
        <f aca="false">S$5*(1+A_pore*S$6*($A100/100))/(1-S$6*(1+((1-phimax_pore)/phimax_pore^2)*($A100/100))*($A100/100))</f>
        <v>0.0303758838372676</v>
      </c>
      <c r="T100" s="9" t="n">
        <f aca="false">T$5*(1+A_pore*T$6*($A100/100))/(1-T$6*(1+((1-phimax_pore)/phimax_pore^2)*($A100/100))*($A100/100))</f>
        <v>0.030572544643209</v>
      </c>
      <c r="U100" s="9" t="n">
        <f aca="false">U$5*(1+A_pore*U$6*($A100/100))/(1-U$6*(1+((1-phimax_pore)/phimax_pore^2)*($A100/100))*($A100/100))</f>
        <v>0.0307874710526382</v>
      </c>
      <c r="V100" s="9" t="n">
        <f aca="false">V$5*(1+A_pore*V$6*($A100/100))/(1-V$6*(1+((1-phimax_pore)/phimax_pore^2)*($A100/100))*($A100/100))</f>
        <v>0.0310239215175404</v>
      </c>
      <c r="W100" s="9" t="n">
        <f aca="false">W$5*(1+A_pore*W$6*($A100/100))/(1-W$6*(1+((1-phimax_pore)/phimax_pore^2)*($A100/100))*($A100/100))</f>
        <v>0.0312859348270067</v>
      </c>
      <c r="X100" s="9" t="n">
        <f aca="false">X$5*(1+A_pore*X$6*($A100/100))/(1-X$6*(1+((1-phimax_pore)/phimax_pore^2)*($A100/100))*($A100/100))</f>
        <v>0.0315785844803011</v>
      </c>
      <c r="Y100" s="9" t="n">
        <f aca="false">Y$5*(1+A_pore*Y$6*($A100/100))/(1-Y$6*(1+((1-phimax_pore)/phimax_pore^2)*($A100/100))*($A100/100))</f>
        <v>0.0319083385370292</v>
      </c>
      <c r="Z100" s="9" t="n">
        <f aca="false">Z$5*(1+A_pore*Z$6*($A100/100))/(1-Z$6*(1+((1-phimax_pore)/phimax_pore^2)*($A100/100))*($A100/100))</f>
        <v>0.0322835799393307</v>
      </c>
      <c r="AA100" s="9" t="n">
        <f aca="false">AA$5*(1+A_pore*AA$6*($A100/100))/(1-AA$6*(1+((1-phimax_pore)/phimax_pore^2)*($A100/100))*($A100/100))</f>
        <v>0.0327153776702558</v>
      </c>
      <c r="AB100" s="9" t="n">
        <f aca="false">AB$5*(1+A_pore*AB$6*($A100/100))/(1-AB$6*(1+((1-phimax_pore)/phimax_pore^2)*($A100/100))*($A100/100))</f>
        <v>0.0332186623185252</v>
      </c>
      <c r="AC100" s="9" t="n">
        <f aca="false">AC$5*(1+A_pore*AC$6*($A100/100))/(1-AC$6*(1+((1-phimax_pore)/phimax_pore^2)*($A100/100))*($A100/100))</f>
        <v>0.0338140773359037</v>
      </c>
      <c r="AD100" s="9" t="n">
        <f aca="false">AD$5*(1+A_pore*AD$6*($A100/100))/(1-AD$6*(1+((1-phimax_pore)/phimax_pore^2)*($A100/100))*($A100/100))</f>
        <v>0.0345310072666697</v>
      </c>
      <c r="AE100" s="9" t="n">
        <f aca="false">AE$5*(1+A_pore*AE$6*($A100/100))/(1-AE$6*(1+((1-phimax_pore)/phimax_pore^2)*($A100/100))*($A100/100))</f>
        <v>0.0354127595904939</v>
      </c>
      <c r="AF100" s="9" t="n">
        <f aca="false">AF$5*(1+A_pore*AF$6*($A100/100))/(1-AF$6*(1+((1-phimax_pore)/phimax_pore^2)*($A100/100))*($A100/100))</f>
        <v>0.0365259275203926</v>
      </c>
      <c r="AG100" s="9" t="n">
        <f aca="false">AG$5*(1+A_pore*AG$6*($A100/100))/(1-AG$6*(1+((1-phimax_pore)/phimax_pore^2)*($A100/100))*($A100/100))</f>
        <v>0.0379784810626759</v>
      </c>
      <c r="AH100" s="9" t="n">
        <f aca="false">AH$5*(1+A_pore*AH$6*($A100/100))/(1-AH$6*(1+((1-phimax_pore)/phimax_pore^2)*($A100/100))*($A100/100))</f>
        <v>0.0399578256768167</v>
      </c>
      <c r="AI100" s="9" t="n">
        <f aca="false">AI$5*(1+A_pore*AI$6*($A100/100))/(1-AI$6*(1+((1-phimax_pore)/phimax_pore^2)*($A100/100))*($A100/100))</f>
        <v>0.0428203368128615</v>
      </c>
      <c r="AJ100" s="9" t="n">
        <f aca="false">AJ$5*(1+A_pore*AJ$6*($A100/100))/(1-AJ$6*(1+((1-phimax_pore)/phimax_pore^2)*($A100/100))*($A100/100))</f>
        <v>0.0473372372105843</v>
      </c>
      <c r="AK100" s="9" t="n">
        <f aca="false">AK$5*(1+A_pore*AK$6*($A100/100))/(1-AK$6*(1+((1-phimax_pore)/phimax_pore^2)*($A100/100))*($A100/100))</f>
        <v>0.0555460626389897</v>
      </c>
    </row>
    <row r="101" customFormat="false" ht="15" hidden="false" customHeight="false" outlineLevel="0" collapsed="false">
      <c r="A101" s="4" t="n">
        <v>92</v>
      </c>
      <c r="B101" s="9" t="n">
        <f aca="false">B$5*(1+A_pore*B$6*($A101/100))/(1-B$6*(1+((1-phimax_pore)/phimax_pore^2)*($A101/100))*($A101/100))</f>
        <v>0.0280066923409737</v>
      </c>
      <c r="C101" s="9" t="n">
        <f aca="false">C$5*(1+A_pore*C$6*($A101/100))/(1-C$6*(1+((1-phimax_pore)/phimax_pore^2)*($A101/100))*($A101/100))</f>
        <v>0.0280911184412263</v>
      </c>
      <c r="D101" s="9" t="n">
        <f aca="false">D$5*(1+A_pore*D$6*($A101/100))/(1-D$6*(1+((1-phimax_pore)/phimax_pore^2)*($A101/100))*($A101/100))</f>
        <v>0.0281754649513693</v>
      </c>
      <c r="E101" s="9" t="n">
        <f aca="false">E$5*(1+A_pore*E$6*($A101/100))/(1-E$6*(1+((1-phimax_pore)/phimax_pore^2)*($A101/100))*($A101/100))</f>
        <v>0.0282603006960001</v>
      </c>
      <c r="F101" s="9" t="n">
        <f aca="false">F$5*(1+A_pore*F$6*($A101/100))/(1-F$6*(1+((1-phimax_pore)/phimax_pore^2)*($A101/100))*($A101/100))</f>
        <v>0.0283461596648127</v>
      </c>
      <c r="G101" s="9" t="n">
        <f aca="false">G$5*(1+A_pore*G$6*($A101/100))/(1-G$6*(1+((1-phimax_pore)/phimax_pore^2)*($A101/100))*($A101/100))</f>
        <v>0.0284335576641879</v>
      </c>
      <c r="H101" s="9" t="n">
        <f aca="false">H$5*(1+A_pore*H$6*($A101/100))/(1-H$6*(1+((1-phimax_pore)/phimax_pore^2)*($A101/100))*($A101/100))</f>
        <v>0.0285230067085879</v>
      </c>
      <c r="I101" s="9" t="n">
        <f aca="false">I$5*(1+A_pore*I$6*($A101/100))/(1-I$6*(1+((1-phimax_pore)/phimax_pore^2)*($A101/100))*($A101/100))</f>
        <v>0.0286150281401162</v>
      </c>
      <c r="J101" s="9" t="n">
        <f aca="false">J$5*(1+A_pore*J$6*($A101/100))/(1-J$6*(1+((1-phimax_pore)/phimax_pore^2)*($A101/100))*($A101/100))</f>
        <v>0.0287101652723642</v>
      </c>
      <c r="K101" s="9" t="n">
        <f aca="false">K$5*(1+A_pore*K$6*($A101/100))/(1-K$6*(1+((1-phimax_pore)/phimax_pore^2)*($A101/100))*($A101/100))</f>
        <v>0.0288089962545358</v>
      </c>
      <c r="L101" s="9" t="n">
        <f aca="false">L$5*(1+A_pore*L$6*($A101/100))/(1-L$6*(1+((1-phimax_pore)/phimax_pore^2)*($A101/100))*($A101/100))</f>
        <v>0.0289121478228693</v>
      </c>
      <c r="M101" s="9" t="n">
        <f aca="false">M$5*(1+A_pore*M$6*($A101/100))/(1-M$6*(1+((1-phimax_pore)/phimax_pore^2)*($A101/100))*($A101/100))</f>
        <v>0.0290203106395727</v>
      </c>
      <c r="N101" s="9" t="n">
        <f aca="false">N$5*(1+A_pore*N$6*($A101/100))/(1-N$6*(1+((1-phimax_pore)/phimax_pore^2)*($A101/100))*($A101/100))</f>
        <v>0.0291342570152055</v>
      </c>
      <c r="O101" s="9" t="n">
        <f aca="false">O$5*(1+A_pore*O$6*($A101/100))/(1-O$6*(1+((1-phimax_pore)/phimax_pore^2)*($A101/100))*($A101/100))</f>
        <v>0.0292548619777861</v>
      </c>
      <c r="P101" s="9" t="n">
        <f aca="false">P$5*(1+A_pore*P$6*($A101/100))/(1-P$6*(1+((1-phimax_pore)/phimax_pore^2)*($A101/100))*($A101/100))</f>
        <v>0.0293831289099633</v>
      </c>
      <c r="Q101" s="9" t="n">
        <f aca="false">Q$5*(1+A_pore*Q$6*($A101/100))/(1-Q$6*(1+((1-phimax_pore)/phimax_pore^2)*($A101/100))*($A101/100))</f>
        <v>0.0295202213566977</v>
      </c>
      <c r="R101" s="9" t="n">
        <f aca="false">R$5*(1+A_pore*R$6*($A101/100))/(1-R$6*(1+((1-phimax_pore)/phimax_pore^2)*($A101/100))*($A101/100))</f>
        <v>0.0296675031616209</v>
      </c>
      <c r="S101" s="9" t="n">
        <f aca="false">S$5*(1+A_pore*S$6*($A101/100))/(1-S$6*(1+((1-phimax_pore)/phimax_pore^2)*($A101/100))*($A101/100))</f>
        <v>0.0298265899017718</v>
      </c>
      <c r="T101" s="9" t="n">
        <f aca="false">T$5*(1+A_pore*T$6*($A101/100))/(1-T$6*(1+((1-phimax_pore)/phimax_pore^2)*($A101/100))*($A101/100))</f>
        <v>0.0299994157862365</v>
      </c>
      <c r="U101" s="9" t="n">
        <f aca="false">U$5*(1+A_pore*U$6*($A101/100))/(1-U$6*(1+((1-phimax_pore)/phimax_pore^2)*($A101/100))*($A101/100))</f>
        <v>0.0301883219704187</v>
      </c>
      <c r="V101" s="9" t="n">
        <f aca="false">V$5*(1+A_pore*V$6*($A101/100))/(1-V$6*(1+((1-phimax_pore)/phimax_pore^2)*($A101/100))*($A101/100))</f>
        <v>0.0303961749510545</v>
      </c>
      <c r="W101" s="9" t="n">
        <f aca="false">W$5*(1+A_pore*W$6*($A101/100))/(1-W$6*(1+((1-phimax_pore)/phimax_pore^2)*($A101/100))*($A101/100))</f>
        <v>0.0306265279104035</v>
      </c>
      <c r="X101" s="9" t="n">
        <f aca="false">X$5*(1+A_pore*X$6*($A101/100))/(1-X$6*(1+((1-phimax_pore)/phimax_pore^2)*($A101/100))*($A101/100))</f>
        <v>0.0308838445354306</v>
      </c>
      <c r="Y101" s="9" t="n">
        <f aca="false">Y$5*(1+A_pore*Y$6*($A101/100))/(1-Y$6*(1+((1-phimax_pore)/phimax_pore^2)*($A101/100))*($A101/100))</f>
        <v>0.0311738156483684</v>
      </c>
      <c r="Z101" s="9" t="n">
        <f aca="false">Z$5*(1+A_pore*Z$6*($A101/100))/(1-Z$6*(1+((1-phimax_pore)/phimax_pore^2)*($A101/100))*($A101/100))</f>
        <v>0.0315038170392026</v>
      </c>
      <c r="AA101" s="9" t="n">
        <f aca="false">AA$5*(1+A_pore*AA$6*($A101/100))/(1-AA$6*(1+((1-phimax_pore)/phimax_pore^2)*($A101/100))*($A101/100))</f>
        <v>0.0318835880124385</v>
      </c>
      <c r="AB101" s="9" t="n">
        <f aca="false">AB$5*(1+A_pore*AB$6*($A101/100))/(1-AB$6*(1+((1-phimax_pore)/phimax_pore^2)*($A101/100))*($A101/100))</f>
        <v>0.0323262657762545</v>
      </c>
      <c r="AC101" s="9" t="n">
        <f aca="false">AC$5*(1+A_pore*AC$6*($A101/100))/(1-AC$6*(1+((1-phimax_pore)/phimax_pore^2)*($A101/100))*($A101/100))</f>
        <v>0.0328500143818552</v>
      </c>
      <c r="AD101" s="9" t="n">
        <f aca="false">AD$5*(1+A_pore*AD$6*($A101/100))/(1-AD$6*(1+((1-phimax_pore)/phimax_pore^2)*($A101/100))*($A101/100))</f>
        <v>0.0334806892945715</v>
      </c>
      <c r="AE101" s="9" t="n">
        <f aca="false">AE$5*(1+A_pore*AE$6*($A101/100))/(1-AE$6*(1+((1-phimax_pore)/phimax_pore^2)*($A101/100))*($A101/100))</f>
        <v>0.0342563969546305</v>
      </c>
      <c r="AF101" s="9" t="n">
        <f aca="false">AF$5*(1+A_pore*AF$6*($A101/100))/(1-AF$6*(1+((1-phimax_pore)/phimax_pore^2)*($A101/100))*($A101/100))</f>
        <v>0.0352357332089139</v>
      </c>
      <c r="AG101" s="9" t="n">
        <f aca="false">AG$5*(1+A_pore*AG$6*($A101/100))/(1-AG$6*(1+((1-phimax_pore)/phimax_pore^2)*($A101/100))*($A101/100))</f>
        <v>0.0365137018415788</v>
      </c>
      <c r="AH101" s="9" t="n">
        <f aca="false">AH$5*(1+A_pore*AH$6*($A101/100))/(1-AH$6*(1+((1-phimax_pore)/phimax_pore^2)*($A101/100))*($A101/100))</f>
        <v>0.0382552028268463</v>
      </c>
      <c r="AI101" s="9" t="n">
        <f aca="false">AI$5*(1+A_pore*AI$6*($A101/100))/(1-AI$6*(1+((1-phimax_pore)/phimax_pore^2)*($A101/100))*($A101/100))</f>
        <v>0.0407738148015644</v>
      </c>
      <c r="AJ101" s="9" t="n">
        <f aca="false">AJ$5*(1+A_pore*AJ$6*($A101/100))/(1-AJ$6*(1+((1-phimax_pore)/phimax_pore^2)*($A101/100))*($A101/100))</f>
        <v>0.0447481453409235</v>
      </c>
      <c r="AK101" s="9" t="n">
        <f aca="false">AK$5*(1+A_pore*AK$6*($A101/100))/(1-AK$6*(1+((1-phimax_pore)/phimax_pore^2)*($A101/100))*($A101/100))</f>
        <v>0.0519710455020473</v>
      </c>
    </row>
    <row r="102" customFormat="false" ht="15" hidden="false" customHeight="false" outlineLevel="0" collapsed="false">
      <c r="A102" s="4" t="n">
        <v>93</v>
      </c>
      <c r="B102" s="9" t="n">
        <f aca="false">B$5*(1+A_pore*B$6*($A102/100))/(1-B$6*(1+((1-phimax_pore)/phimax_pore^2)*($A102/100))*($A102/100))</f>
        <v>0.0277172506222932</v>
      </c>
      <c r="C102" s="9" t="n">
        <f aca="false">C$5*(1+A_pore*C$6*($A102/100))/(1-C$6*(1+((1-phimax_pore)/phimax_pore^2)*($A102/100))*($A102/100))</f>
        <v>0.0277897727881431</v>
      </c>
      <c r="D102" s="9" t="n">
        <f aca="false">D$5*(1+A_pore*D$6*($A102/100))/(1-D$6*(1+((1-phimax_pore)/phimax_pore^2)*($A102/100))*($A102/100))</f>
        <v>0.0278622750938688</v>
      </c>
      <c r="E102" s="9" t="n">
        <f aca="false">E$5*(1+A_pore*E$6*($A102/100))/(1-E$6*(1+((1-phimax_pore)/phimax_pore^2)*($A102/100))*($A102/100))</f>
        <v>0.0279352443095522</v>
      </c>
      <c r="F102" s="9" t="n">
        <f aca="false">F$5*(1+A_pore*F$6*($A102/100))/(1-F$6*(1+((1-phimax_pore)/phimax_pore^2)*($A102/100))*($A102/100))</f>
        <v>0.0280091379352951</v>
      </c>
      <c r="G102" s="9" t="n">
        <f aca="false">G$5*(1+A_pore*G$6*($A102/100))/(1-G$6*(1+((1-phimax_pore)/phimax_pore^2)*($A102/100))*($A102/100))</f>
        <v>0.0280843984629378</v>
      </c>
      <c r="H102" s="9" t="n">
        <f aca="false">H$5*(1+A_pore*H$6*($A102/100))/(1-H$6*(1+((1-phimax_pore)/phimax_pore^2)*($A102/100))*($A102/100))</f>
        <v>0.0281614657129462</v>
      </c>
      <c r="I102" s="9" t="n">
        <f aca="false">I$5*(1+A_pore*I$6*($A102/100))/(1-I$6*(1+((1-phimax_pore)/phimax_pore^2)*($A102/100))*($A102/100))</f>
        <v>0.028240788095277</v>
      </c>
      <c r="J102" s="9" t="n">
        <f aca="false">J$5*(1+A_pore*J$6*($A102/100))/(1-J$6*(1+((1-phimax_pore)/phimax_pore^2)*($A102/100))*($A102/100))</f>
        <v>0.0283228334782443</v>
      </c>
      <c r="K102" s="9" t="n">
        <f aca="false">K$5*(1+A_pore*K$6*($A102/100))/(1-K$6*(1+((1-phimax_pore)/phimax_pore^2)*($A102/100))*($A102/100))</f>
        <v>0.0284081002639916</v>
      </c>
      <c r="L102" s="9" t="n">
        <f aca="false">L$5*(1+A_pore*L$6*($A102/100))/(1-L$6*(1+((1-phimax_pore)/phimax_pore^2)*($A102/100))*($A102/100))</f>
        <v>0.0284971292450674</v>
      </c>
      <c r="M102" s="9" t="n">
        <f aca="false">M$5*(1+A_pore*M$6*($A102/100))/(1-M$6*(1+((1-phimax_pore)/phimax_pore^2)*($A102/100))*($A102/100))</f>
        <v>0.0285905168461128</v>
      </c>
      <c r="N102" s="9" t="n">
        <f aca="false">N$5*(1+A_pore*N$6*($A102/100))/(1-N$6*(1+((1-phimax_pore)/phimax_pore^2)*($A102/100))*($A102/100))</f>
        <v>0.0286889304381537</v>
      </c>
      <c r="O102" s="9" t="n">
        <f aca="false">O$5*(1+A_pore*O$6*($A102/100))/(1-O$6*(1+((1-phimax_pore)/phimax_pore^2)*($A102/100))*($A102/100))</f>
        <v>0.028793126558387</v>
      </c>
      <c r="P102" s="9" t="n">
        <f aca="false">P$5*(1+A_pore*P$6*($A102/100))/(1-P$6*(1+((1-phimax_pore)/phimax_pore^2)*($A102/100))*($A102/100))</f>
        <v>0.0289039730922251</v>
      </c>
      <c r="Q102" s="9" t="n">
        <f aca="false">Q$5*(1+A_pore*Q$6*($A102/100))/(1-Q$6*(1+((1-phimax_pore)/phimax_pore^2)*($A102/100))*($A102/100))</f>
        <v>0.0290224768047555</v>
      </c>
      <c r="R102" s="9" t="n">
        <f aca="false">R$5*(1+A_pore*R$6*($A102/100))/(1-R$6*(1+((1-phimax_pore)/phimax_pore^2)*($A102/100))*($A102/100))</f>
        <v>0.0291498180903585</v>
      </c>
      <c r="S102" s="9" t="n">
        <f aca="false">S$5*(1+A_pore*S$6*($A102/100))/(1-S$6*(1+((1-phimax_pore)/phimax_pore^2)*($A102/100))*($A102/100))</f>
        <v>0.0292873955123743</v>
      </c>
      <c r="T102" s="9" t="n">
        <f aca="false">T$5*(1+A_pore*T$6*($A102/100))/(1-T$6*(1+((1-phimax_pore)/phimax_pore^2)*($A102/100))*($A102/100))</f>
        <v>0.0294368837407112</v>
      </c>
      <c r="U102" s="9" t="n">
        <f aca="false">U$5*(1+A_pore*U$6*($A102/100))/(1-U$6*(1+((1-phimax_pore)/phimax_pore^2)*($A102/100))*($A102/100))</f>
        <v>0.0296003100426783</v>
      </c>
      <c r="V102" s="9" t="n">
        <f aca="false">V$5*(1+A_pore*V$6*($A102/100))/(1-V$6*(1+((1-phimax_pore)/phimax_pore^2)*($A102/100))*($A102/100))</f>
        <v>0.0297801568328721</v>
      </c>
      <c r="W102" s="9" t="n">
        <f aca="false">W$5*(1+A_pore*W$6*($A102/100))/(1-W$6*(1+((1-phimax_pore)/phimax_pore^2)*($A102/100))*($A102/100))</f>
        <v>0.029979501429125</v>
      </c>
      <c r="X102" s="9" t="n">
        <f aca="false">X$5*(1+A_pore*X$6*($A102/100))/(1-X$6*(1+((1-phimax_pore)/phimax_pore^2)*($A102/100))*($A102/100))</f>
        <v>0.0302022099285294</v>
      </c>
      <c r="Y102" s="9" t="n">
        <f aca="false">Y$5*(1+A_pore*Y$6*($A102/100))/(1-Y$6*(1+((1-phimax_pore)/phimax_pore^2)*($A102/100))*($A102/100))</f>
        <v>0.0304532114822444</v>
      </c>
      <c r="Z102" s="9" t="n">
        <f aca="false">Z$5*(1+A_pore*Z$6*($A102/100))/(1-Z$6*(1+((1-phimax_pore)/phimax_pore^2)*($A102/100))*($A102/100))</f>
        <v>0.0307388948872214</v>
      </c>
      <c r="AA102" s="9" t="n">
        <f aca="false">AA$5*(1+A_pore*AA$6*($A102/100))/(1-AA$6*(1+((1-phimax_pore)/phimax_pore^2)*($A102/100))*($A102/100))</f>
        <v>0.0310676963722751</v>
      </c>
      <c r="AB102" s="9" t="n">
        <f aca="false">AB$5*(1+A_pore*AB$6*($A102/100))/(1-AB$6*(1+((1-phimax_pore)/phimax_pore^2)*($A102/100))*($A102/100))</f>
        <v>0.0314509956330582</v>
      </c>
      <c r="AC102" s="9" t="n">
        <f aca="false">AC$5*(1+A_pore*AC$6*($A102/100))/(1-AC$6*(1+((1-phimax_pore)/phimax_pore^2)*($A102/100))*($A102/100))</f>
        <v>0.0319045268963937</v>
      </c>
      <c r="AD102" s="9" t="n">
        <f aca="false">AD$5*(1+A_pore*AD$6*($A102/100))/(1-AD$6*(1+((1-phimax_pore)/phimax_pore^2)*($A102/100))*($A102/100))</f>
        <v>0.0324506871005885</v>
      </c>
      <c r="AE102" s="9" t="n">
        <f aca="false">AE$5*(1+A_pore*AE$6*($A102/100))/(1-AE$6*(1+((1-phimax_pore)/phimax_pore^2)*($A102/100))*($A102/100))</f>
        <v>0.0331224856100945</v>
      </c>
      <c r="AF102" s="9" t="n">
        <f aca="false">AF$5*(1+A_pore*AF$6*($A102/100))/(1-AF$6*(1+((1-phimax_pore)/phimax_pore^2)*($A102/100))*($A102/100))</f>
        <v>0.0339706807508743</v>
      </c>
      <c r="AG102" s="9" t="n">
        <f aca="false">AG$5*(1+A_pore*AG$6*($A102/100))/(1-AG$6*(1+((1-phimax_pore)/phimax_pore^2)*($A102/100))*($A102/100))</f>
        <v>0.035077569228322</v>
      </c>
      <c r="AH102" s="9" t="n">
        <f aca="false">AH$5*(1+A_pore*AH$6*($A102/100))/(1-AH$6*(1+((1-phimax_pore)/phimax_pore^2)*($A102/100))*($A102/100))</f>
        <v>0.0365859953095563</v>
      </c>
      <c r="AI102" s="9" t="n">
        <f aca="false">AI$5*(1+A_pore*AI$6*($A102/100))/(1-AI$6*(1+((1-phimax_pore)/phimax_pore^2)*($A102/100))*($A102/100))</f>
        <v>0.0387675961039597</v>
      </c>
      <c r="AJ102" s="9" t="n">
        <f aca="false">AJ$5*(1+A_pore*AJ$6*($A102/100))/(1-AJ$6*(1+((1-phimax_pore)/phimax_pore^2)*($A102/100))*($A102/100))</f>
        <v>0.042210214893109</v>
      </c>
      <c r="AK102" s="9" t="n">
        <f aca="false">AK$5*(1+A_pore*AK$6*($A102/100))/(1-AK$6*(1+((1-phimax_pore)/phimax_pore^2)*($A102/100))*($A102/100))</f>
        <v>0.0484669078994456</v>
      </c>
    </row>
    <row r="103" customFormat="false" ht="15" hidden="false" customHeight="false" outlineLevel="0" collapsed="false">
      <c r="A103" s="4" t="n">
        <v>94</v>
      </c>
      <c r="B103" s="9" t="n">
        <f aca="false">B$5*(1+A_pore*B$6*($A103/100))/(1-B$6*(1+((1-phimax_pore)/phimax_pore^2)*($A103/100))*($A103/100))</f>
        <v>0.0274322089654195</v>
      </c>
      <c r="C103" s="9" t="n">
        <f aca="false">C$5*(1+A_pore*C$6*($A103/100))/(1-C$6*(1+((1-phimax_pore)/phimax_pore^2)*($A103/100))*($A103/100))</f>
        <v>0.0274931002569593</v>
      </c>
      <c r="D103" s="9" t="n">
        <f aca="false">D$5*(1+A_pore*D$6*($A103/100))/(1-D$6*(1+((1-phimax_pore)/phimax_pore^2)*($A103/100))*($A103/100))</f>
        <v>0.0275540290922002</v>
      </c>
      <c r="E103" s="9" t="n">
        <f aca="false">E$5*(1+A_pore*E$6*($A103/100))/(1-E$6*(1+((1-phimax_pore)/phimax_pore^2)*($A103/100))*($A103/100))</f>
        <v>0.0276154017084495</v>
      </c>
      <c r="F103" s="9" t="n">
        <f aca="false">F$5*(1+A_pore*F$6*($A103/100))/(1-F$6*(1+((1-phimax_pore)/phimax_pore^2)*($A103/100))*($A103/100))</f>
        <v>0.0276776005895548</v>
      </c>
      <c r="G103" s="9" t="n">
        <f aca="false">G$5*(1+A_pore*G$6*($A103/100))/(1-G$6*(1+((1-phimax_pore)/phimax_pore^2)*($A103/100))*($A103/100))</f>
        <v>0.0277409963636078</v>
      </c>
      <c r="H103" s="9" t="n">
        <f aca="false">H$5*(1+A_pore*H$6*($A103/100))/(1-H$6*(1+((1-phimax_pore)/phimax_pore^2)*($A103/100))*($A103/100))</f>
        <v>0.0278059581116409</v>
      </c>
      <c r="I103" s="9" t="n">
        <f aca="false">I$5*(1+A_pore*I$6*($A103/100))/(1-I$6*(1+((1-phimax_pore)/phimax_pore^2)*($A103/100))*($A103/100))</f>
        <v>0.0278728627969291</v>
      </c>
      <c r="J103" s="9" t="n">
        <f aca="false">J$5*(1+A_pore*J$6*($A103/100))/(1-J$6*(1+((1-phimax_pore)/phimax_pore^2)*($A103/100))*($A103/100))</f>
        <v>0.0279421043874852</v>
      </c>
      <c r="K103" s="9" t="n">
        <f aca="false">K$5*(1+A_pore*K$6*($A103/100))/(1-K$6*(1+((1-phimax_pore)/phimax_pore^2)*($A103/100))*($A103/100))</f>
        <v>0.0280141031738739</v>
      </c>
      <c r="L103" s="9" t="n">
        <f aca="false">L$5*(1+A_pore*L$6*($A103/100))/(1-L$6*(1+((1-phimax_pore)/phimax_pore^2)*($A103/100))*($A103/100))</f>
        <v>0.0280893157654774</v>
      </c>
      <c r="M103" s="9" t="n">
        <f aca="false">M$5*(1+A_pore*M$6*($A103/100))/(1-M$6*(1+((1-phimax_pore)/phimax_pore^2)*($A103/100))*($A103/100))</f>
        <v>0.0281682462744635</v>
      </c>
      <c r="N103" s="9" t="n">
        <f aca="false">N$5*(1+A_pore*N$6*($A103/100))/(1-N$6*(1+((1-phimax_pore)/phimax_pore^2)*($A103/100))*($A103/100))</f>
        <v>0.0282514592683487</v>
      </c>
      <c r="O103" s="9" t="n">
        <f aca="false">O$5*(1+A_pore*O$6*($A103/100))/(1-O$6*(1+((1-phimax_pore)/phimax_pore^2)*($A103/100))*($A103/100))</f>
        <v>0.028339595196023</v>
      </c>
      <c r="P103" s="9" t="n">
        <f aca="false">P$5*(1+A_pore*P$6*($A103/100))/(1-P$6*(1+((1-phimax_pore)/phimax_pore^2)*($A103/100))*($A103/100))</f>
        <v>0.028433389182544</v>
      </c>
      <c r="Q103" s="9" t="n">
        <f aca="false">Q$5*(1+A_pore*Q$6*($A103/100))/(1-Q$6*(1+((1-phimax_pore)/phimax_pore^2)*($A103/100))*($A103/100))</f>
        <v>0.0285336943687216</v>
      </c>
      <c r="R103" s="9" t="n">
        <f aca="false">R$5*(1+A_pore*R$6*($A103/100))/(1-R$6*(1+((1-phimax_pore)/phimax_pore^2)*($A103/100))*($A103/100))</f>
        <v>0.0286415113804781</v>
      </c>
      <c r="S103" s="9" t="n">
        <f aca="false">S$5*(1+A_pore*S$6*($A103/100))/(1-S$6*(1+((1-phimax_pore)/phimax_pore^2)*($A103/100))*($A103/100))</f>
        <v>0.0287580261098836</v>
      </c>
      <c r="T103" s="9" t="n">
        <f aca="false">T$5*(1+A_pore*T$6*($A103/100))/(1-T$6*(1+((1-phimax_pore)/phimax_pore^2)*($A103/100))*($A103/100))</f>
        <v>0.0288846588691302</v>
      </c>
      <c r="U103" s="9" t="n">
        <f aca="false">U$5*(1+A_pore*U$6*($A103/100))/(1-U$6*(1+((1-phimax_pore)/phimax_pore^2)*($A103/100))*($A103/100))</f>
        <v>0.029023129292024</v>
      </c>
      <c r="V103" s="9" t="n">
        <f aca="false">V$5*(1+A_pore*V$6*($A103/100))/(1-V$6*(1+((1-phimax_pore)/phimax_pore^2)*($A103/100))*($A103/100))</f>
        <v>0.0291755433524648</v>
      </c>
      <c r="W103" s="9" t="n">
        <f aca="false">W$5*(1+A_pore*W$6*($A103/100))/(1-W$6*(1+((1-phimax_pore)/phimax_pore^2)*($A103/100))*($A103/100))</f>
        <v>0.0293445119595595</v>
      </c>
      <c r="X103" s="9" t="n">
        <f aca="false">X$5*(1+A_pore*X$6*($A103/100))/(1-X$6*(1+((1-phimax_pore)/phimax_pore^2)*($A103/100))*($A103/100))</f>
        <v>0.029533315483265</v>
      </c>
      <c r="Y103" s="9" t="n">
        <f aca="false">Y$5*(1+A_pore*Y$6*($A103/100))/(1-Y$6*(1+((1-phimax_pore)/phimax_pore^2)*($A103/100))*($A103/100))</f>
        <v>0.0297461365118882</v>
      </c>
      <c r="Z103" s="9" t="n">
        <f aca="false">Z$5*(1+A_pore*Z$6*($A103/100))/(1-Z$6*(1+((1-phimax_pore)/phimax_pore^2)*($A103/100))*($A103/100))</f>
        <v>0.0299883964152753</v>
      </c>
      <c r="AA103" s="9" t="n">
        <f aca="false">AA$5*(1+A_pore*AA$6*($A103/100))/(1-AA$6*(1+((1-phimax_pore)/phimax_pore^2)*($A103/100))*($A103/100))</f>
        <v>0.0302672541666652</v>
      </c>
      <c r="AB103" s="9" t="n">
        <f aca="false">AB$5*(1+A_pore*AB$6*($A103/100))/(1-AB$6*(1+((1-phimax_pore)/phimax_pore^2)*($A103/100))*($A103/100))</f>
        <v>0.0305923667619331</v>
      </c>
      <c r="AC103" s="9" t="n">
        <f aca="false">AC$5*(1+A_pore*AC$6*($A103/100))/(1-AC$6*(1+((1-phimax_pore)/phimax_pore^2)*($A103/100))*($A103/100))</f>
        <v>0.0309770867212232</v>
      </c>
      <c r="AD103" s="9" t="n">
        <f aca="false">AD$5*(1+A_pore*AD$6*($A103/100))/(1-AD$6*(1+((1-phimax_pore)/phimax_pore^2)*($A103/100))*($A103/100))</f>
        <v>0.0314404209323059</v>
      </c>
      <c r="AE103" s="9" t="n">
        <f aca="false">AE$5*(1+A_pore*AE$6*($A103/100))/(1-AE$6*(1+((1-phimax_pore)/phimax_pore^2)*($A103/100))*($A103/100))</f>
        <v>0.0320103825893538</v>
      </c>
      <c r="AF103" s="9" t="n">
        <f aca="false">AF$5*(1+A_pore*AF$6*($A103/100))/(1-AF$6*(1+((1-phimax_pore)/phimax_pore^2)*($A103/100))*($A103/100))</f>
        <v>0.0327300476408242</v>
      </c>
      <c r="AG103" s="9" t="n">
        <f aca="false">AG$5*(1+A_pore*AG$6*($A103/100))/(1-AG$6*(1+((1-phimax_pore)/phimax_pore^2)*($A103/100))*($A103/100))</f>
        <v>0.0336692572343098</v>
      </c>
      <c r="AH103" s="9" t="n">
        <f aca="false">AH$5*(1+A_pore*AH$6*($A103/100))/(1-AH$6*(1+((1-phimax_pore)/phimax_pore^2)*($A103/100))*($A103/100))</f>
        <v>0.0349492364784732</v>
      </c>
      <c r="AI103" s="9" t="n">
        <f aca="false">AI$5*(1+A_pore*AI$6*($A103/100))/(1-AI$6*(1+((1-phimax_pore)/phimax_pore^2)*($A103/100))*($A103/100))</f>
        <v>0.0368005110844088</v>
      </c>
      <c r="AJ103" s="9" t="n">
        <f aca="false">AJ$5*(1+A_pore*AJ$6*($A103/100))/(1-AJ$6*(1+((1-phimax_pore)/phimax_pore^2)*($A103/100))*($A103/100))</f>
        <v>0.0397219564717009</v>
      </c>
      <c r="AK103" s="9" t="n">
        <f aca="false">AK$5*(1+A_pore*AK$6*($A103/100))/(1-AK$6*(1+((1-phimax_pore)/phimax_pore^2)*($A103/100))*($A103/100))</f>
        <v>0.045031580080762</v>
      </c>
    </row>
    <row r="104" customFormat="false" ht="15" hidden="false" customHeight="false" outlineLevel="0" collapsed="false">
      <c r="A104" s="4" t="n">
        <v>95</v>
      </c>
      <c r="B104" s="9" t="n">
        <f aca="false">B$5*(1+A_pore*B$6*($A104/100))/(1-B$6*(1+((1-phimax_pore)/phimax_pore^2)*($A104/100))*($A104/100))</f>
        <v>0.027151468131028</v>
      </c>
      <c r="C104" s="9" t="n">
        <f aca="false">C$5*(1+A_pore*C$6*($A104/100))/(1-C$6*(1+((1-phimax_pore)/phimax_pore^2)*($A104/100))*($A104/100))</f>
        <v>0.0272009933571781</v>
      </c>
      <c r="D104" s="9" t="n">
        <f aca="false">D$5*(1+A_pore*D$6*($A104/100))/(1-D$6*(1+((1-phimax_pore)/phimax_pore^2)*($A104/100))*($A104/100))</f>
        <v>0.0272506112172905</v>
      </c>
      <c r="E104" s="9" t="n">
        <f aca="false">E$5*(1+A_pore*E$6*($A104/100))/(1-E$6*(1+((1-phimax_pore)/phimax_pore^2)*($A104/100))*($A104/100))</f>
        <v>0.0273006489080981</v>
      </c>
      <c r="F104" s="9" t="n">
        <f aca="false">F$5*(1+A_pore*F$6*($A104/100))/(1-F$6*(1+((1-phimax_pore)/phimax_pore^2)*($A104/100))*($A104/100))</f>
        <v>0.0273514153388994</v>
      </c>
      <c r="G104" s="9" t="n">
        <f aca="false">G$5*(1+A_pore*G$6*($A104/100))/(1-G$6*(1+((1-phimax_pore)/phimax_pore^2)*($A104/100))*($A104/100))</f>
        <v>0.0274032106912016</v>
      </c>
      <c r="H104" s="9" t="n">
        <f aca="false">H$5*(1+A_pore*H$6*($A104/100))/(1-H$6*(1+((1-phimax_pore)/phimax_pore^2)*($A104/100))*($A104/100))</f>
        <v>0.0274563347254097</v>
      </c>
      <c r="I104" s="9" t="n">
        <f aca="false">I$5*(1+A_pore*I$6*($A104/100))/(1-I$6*(1+((1-phimax_pore)/phimax_pore^2)*($A104/100))*($A104/100))</f>
        <v>0.0275110944053795</v>
      </c>
      <c r="J104" s="9" t="n">
        <f aca="false">J$5*(1+A_pore*J$6*($A104/100))/(1-J$6*(1+((1-phimax_pore)/phimax_pore^2)*($A104/100))*($A104/100))</f>
        <v>0.0275678113026737</v>
      </c>
      <c r="K104" s="9" t="n">
        <f aca="false">K$5*(1+A_pore*K$6*($A104/100))/(1-K$6*(1+((1-phimax_pore)/phimax_pore^2)*($A104/100))*($A104/100))</f>
        <v>0.0276268291870781</v>
      </c>
      <c r="L104" s="9" t="n">
        <f aca="false">L$5*(1+A_pore*L$6*($A104/100))/(1-L$6*(1+((1-phimax_pore)/phimax_pore^2)*($A104/100))*($A104/100))</f>
        <v>0.0276885221962936</v>
      </c>
      <c r="M104" s="9" t="n">
        <f aca="false">M$5*(1+A_pore*M$6*($A104/100))/(1-M$6*(1+((1-phimax_pore)/phimax_pore^2)*($A104/100))*($A104/100))</f>
        <v>0.0277533040007207</v>
      </c>
      <c r="N104" s="9" t="n">
        <f aca="false">N$5*(1+A_pore*N$6*($A104/100))/(1-N$6*(1+((1-phimax_pore)/phimax_pore^2)*($A104/100))*($A104/100))</f>
        <v>0.0278216384394221</v>
      </c>
      <c r="O104" s="9" t="n">
        <f aca="false">O$5*(1+A_pore*O$6*($A104/100))/(1-O$6*(1+((1-phimax_pore)/phimax_pore^2)*($A104/100))*($A104/100))</f>
        <v>0.0278940522064245</v>
      </c>
      <c r="P104" s="9" t="n">
        <f aca="false">P$5*(1+A_pore*P$6*($A104/100))/(1-P$6*(1+((1-phimax_pore)/phimax_pore^2)*($A104/100))*($A104/100))</f>
        <v>0.0279711503242317</v>
      </c>
      <c r="Q104" s="9" t="n">
        <f aca="false">Q$5*(1+A_pore*Q$6*($A104/100))/(1-Q$6*(1+((1-phimax_pore)/phimax_pore^2)*($A104/100))*($A104/100))</f>
        <v>0.0280536353734862</v>
      </c>
      <c r="R104" s="9" t="n">
        <f aca="false">R$5*(1+A_pore*R$6*($A104/100))/(1-R$6*(1+((1-phimax_pore)/phimax_pore^2)*($A104/100))*($A104/100))</f>
        <v>0.0281423317854938</v>
      </c>
      <c r="S104" s="9" t="n">
        <f aca="false">S$5*(1+A_pore*S$6*($A104/100))/(1-S$6*(1+((1-phimax_pore)/phimax_pore^2)*($A104/100))*($A104/100))</f>
        <v>0.0282382169971292</v>
      </c>
      <c r="T104" s="9" t="n">
        <f aca="false">T$5*(1+A_pore*T$6*($A104/100))/(1-T$6*(1+((1-phimax_pore)/phimax_pore^2)*($A104/100))*($A104/100))</f>
        <v>0.0283424619934341</v>
      </c>
      <c r="U104" s="9" t="n">
        <f aca="false">U$5*(1+A_pore*U$6*($A104/100))/(1-U$6*(1+((1-phimax_pore)/phimax_pore^2)*($A104/100))*($A104/100))</f>
        <v>0.0284564848470681</v>
      </c>
      <c r="V104" s="9" t="n">
        <f aca="false">V$5*(1+A_pore*V$6*($A104/100))/(1-V$6*(1+((1-phimax_pore)/phimax_pore^2)*($A104/100))*($A104/100))</f>
        <v>0.0285820225099829</v>
      </c>
      <c r="W104" s="9" t="n">
        <f aca="false">W$5*(1+A_pore*W$6*($A104/100))/(1-W$6*(1+((1-phimax_pore)/phimax_pore^2)*($A104/100))*($A104/100))</f>
        <v>0.0287212286626732</v>
      </c>
      <c r="X104" s="9" t="n">
        <f aca="false">X$5*(1+A_pore*X$6*($A104/100))/(1-X$6*(1+((1-phimax_pore)/phimax_pore^2)*($A104/100))*($A104/100))</f>
        <v>0.0288768094649589</v>
      </c>
      <c r="Y104" s="9" t="n">
        <f aca="false">Y$5*(1+A_pore*Y$6*($A104/100))/(1-Y$6*(1+((1-phimax_pore)/phimax_pore^2)*($A104/100))*($A104/100))</f>
        <v>0.0290522156102156</v>
      </c>
      <c r="Z104" s="9" t="n">
        <f aca="false">Z$5*(1+A_pore*Z$6*($A104/100))/(1-Z$6*(1+((1-phimax_pore)/phimax_pore^2)*($A104/100))*($A104/100))</f>
        <v>0.0292519200369482</v>
      </c>
      <c r="AA104" s="9" t="n">
        <f aca="false">AA$5*(1+A_pore*AA$6*($A104/100))/(1-AA$6*(1+((1-phimax_pore)/phimax_pore^2)*($A104/100))*($A104/100))</f>
        <v>0.029481829530585</v>
      </c>
      <c r="AB104" s="9" t="n">
        <f aca="false">AB$5*(1+A_pore*AB$6*($A104/100))/(1-AB$6*(1+((1-phimax_pore)/phimax_pore^2)*($A104/100))*($A104/100))</f>
        <v>0.0297499121856773</v>
      </c>
      <c r="AC104" s="9" t="n">
        <f aca="false">AC$5*(1+A_pore*AC$6*($A104/100))/(1-AC$6*(1+((1-phimax_pore)/phimax_pore^2)*($A104/100))*($A104/100))</f>
        <v>0.0300671855315533</v>
      </c>
      <c r="AD104" s="9" t="n">
        <f aca="false">AD$5*(1+A_pore*AD$6*($A104/100))/(1-AD$6*(1+((1-phimax_pore)/phimax_pore^2)*($A104/100))*($A104/100))</f>
        <v>0.0304493328870912</v>
      </c>
      <c r="AE104" s="9" t="n">
        <f aca="false">AE$5*(1+A_pore*AE$6*($A104/100))/(1-AE$6*(1+((1-phimax_pore)/phimax_pore^2)*($A104/100))*($A104/100))</f>
        <v>0.0309194692422663</v>
      </c>
      <c r="AF104" s="9" t="n">
        <f aca="false">AF$5*(1+A_pore*AF$6*($A104/100))/(1-AF$6*(1+((1-phimax_pore)/phimax_pore^2)*($A104/100))*($A104/100))</f>
        <v>0.0315131387922274</v>
      </c>
      <c r="AG104" s="9" t="n">
        <f aca="false">AG$5*(1+A_pore*AG$6*($A104/100))/(1-AG$6*(1+((1-phimax_pore)/phimax_pore^2)*($A104/100))*($A104/100))</f>
        <v>0.0322879713213015</v>
      </c>
      <c r="AH104" s="9" t="n">
        <f aca="false">AH$5*(1+A_pore*AH$6*($A104/100))/(1-AH$6*(1+((1-phimax_pore)/phimax_pore^2)*($A104/100))*($A104/100))</f>
        <v>0.0333439966125765</v>
      </c>
      <c r="AI104" s="9" t="n">
        <f aca="false">AI$5*(1+A_pore*AI$6*($A104/100))/(1-AI$6*(1+((1-phimax_pore)/phimax_pore^2)*($A104/100))*($A104/100))</f>
        <v>0.0348714349283793</v>
      </c>
      <c r="AJ104" s="9" t="n">
        <f aca="false">AJ$5*(1+A_pore*AJ$6*($A104/100))/(1-AJ$6*(1+((1-phimax_pore)/phimax_pore^2)*($A104/100))*($A104/100))</f>
        <v>0.0372819379325988</v>
      </c>
      <c r="AK104" s="9" t="n">
        <f aca="false">AK$5*(1+A_pore*AK$6*($A104/100))/(1-AK$6*(1+((1-phimax_pore)/phimax_pore^2)*($A104/100))*($A104/100))</f>
        <v>0.0416630720968027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0"/>
    <col collapsed="false" customWidth="true" hidden="false" outlineLevel="0" max="13" min="12" style="0" width="4"/>
    <col collapsed="false" customWidth="true" hidden="false" outlineLevel="0" max="14" min="14" style="0" width="8"/>
    <col collapsed="false" customWidth="true" hidden="false" outlineLevel="0" max="16" min="15" style="0" width="10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144</v>
      </c>
    </row>
    <row r="3" customFormat="false" ht="15" hidden="false" customHeight="false" outlineLevel="0" collapsed="false">
      <c r="A3" s="3" t="s">
        <v>131</v>
      </c>
      <c r="B3" s="12" t="n">
        <v>0</v>
      </c>
      <c r="D3" s="12" t="n">
        <v>10</v>
      </c>
      <c r="F3" s="12" t="n">
        <v>30</v>
      </c>
      <c r="H3" s="12" t="n">
        <v>50</v>
      </c>
      <c r="J3" s="12" t="n">
        <v>70</v>
      </c>
    </row>
    <row r="4" customFormat="false" ht="15" hidden="false" customHeight="false" outlineLevel="0" collapsed="false">
      <c r="A4" s="3" t="s">
        <v>132</v>
      </c>
      <c r="B4" s="13" t="n">
        <f aca="false">IF(B$3=0,0,(B$3/100/rho_BN)/((B$3/100/rho_BN)+((1-B$3/100)/rho_PI)))</f>
        <v>0</v>
      </c>
      <c r="D4" s="13" t="n">
        <f aca="false">IF(D$3=0,0,(D$3/100/rho_BN)/((D$3/100/rho_BN)+((1-D$3/100)/rho_PI)))</f>
        <v>0.0644575578756242</v>
      </c>
      <c r="F4" s="13" t="n">
        <f aca="false">IF(F$3=0,0,(F$3/100/rho_BN)/((F$3/100/rho_BN)+((1-F$3/100)/rho_PI)))</f>
        <v>0.209955643173977</v>
      </c>
      <c r="H4" s="13" t="n">
        <f aca="false">IF(H$3=0,0,(H$3/100/rho_BN)/((H$3/100/rho_BN)+((1-H$3/100)/rho_PI)))</f>
        <v>0.382749326145553</v>
      </c>
      <c r="J4" s="13" t="n">
        <f aca="false">IF(J$3=0,0,(J$3/100/rho_BN)/((J$3/100/rho_BN)+((1-J$3/100)/rho_PI)))</f>
        <v>0.591314693634741</v>
      </c>
    </row>
    <row r="5" customFormat="false" ht="15" hidden="false" customHeight="false" outlineLevel="0" collapsed="false">
      <c r="A5" s="3" t="s">
        <v>145</v>
      </c>
      <c r="B5" s="13" t="n">
        <f aca="false">eps_PI*(1+A_BN_eps*((eps_BN/eps_PI-1)/(eps_BN/eps_PI+A_BN_eps))*B$4)/(1-((eps_BN/eps_PI-1)/(eps_BN/eps_PI+A_BN_eps))*(1+((1-phimax_BN_eps)/phimax_BN_eps^2)*B$4)*B$4)</f>
        <v>3.5</v>
      </c>
      <c r="D5" s="13" t="n">
        <f aca="false">eps_PI*(1+A_BN_eps*((eps_BN/eps_PI-1)/(eps_BN/eps_PI+A_BN_eps))*D$4)/(1-((eps_BN/eps_PI-1)/(eps_BN/eps_PI+A_BN_eps))*(1+((1-phimax_BN_eps)/phimax_BN_eps^2)*D$4)*D$4)</f>
        <v>3.61533347656216</v>
      </c>
      <c r="F5" s="13" t="n">
        <f aca="false">eps_PI*(1+A_BN_eps*((eps_BN/eps_PI-1)/(eps_BN/eps_PI+A_BN_eps))*F$4)/(1-((eps_BN/eps_PI-1)/(eps_BN/eps_PI+A_BN_eps))*(1+((1-phimax_BN_eps)/phimax_BN_eps^2)*F$4)*F$4)</f>
        <v>3.89346685876766</v>
      </c>
      <c r="H5" s="13" t="n">
        <f aca="false">eps_PI*(1+A_BN_eps*((eps_BN/eps_PI-1)/(eps_BN/eps_PI+A_BN_eps))*H$4)/(1-((eps_BN/eps_PI-1)/(eps_BN/eps_PI+A_BN_eps))*(1+((1-phimax_BN_eps)/phimax_BN_eps^2)*H$4)*H$4)</f>
        <v>4.26010210165309</v>
      </c>
      <c r="J5" s="13" t="n">
        <f aca="false">eps_PI*(1+A_BN_eps*((eps_BN/eps_PI-1)/(eps_BN/eps_PI+A_BN_eps))*J$4)/(1-((eps_BN/eps_PI-1)/(eps_BN/eps_PI+A_BN_eps))*(1+((1-phimax_BN_eps)/phimax_BN_eps^2)*J$4)*J$4)</f>
        <v>4.76560307173661</v>
      </c>
    </row>
    <row r="6" customFormat="false" ht="15" hidden="false" customHeight="false" outlineLevel="0" collapsed="false">
      <c r="A6" s="3" t="s">
        <v>146</v>
      </c>
      <c r="B6" s="13" t="n">
        <f aca="false">(eps_air/B$5-1)/(eps_air/B$5+A_pore)</f>
        <v>-1.953125</v>
      </c>
      <c r="D6" s="13" t="n">
        <f aca="false">(eps_air/D$5-1)/(eps_air/D$5+A_pore)</f>
        <v>-2.02860638934796</v>
      </c>
      <c r="F6" s="13" t="n">
        <f aca="false">(eps_air/F$5-1)/(eps_air/F$5+A_pore)</f>
        <v>-2.20626521810132</v>
      </c>
      <c r="H6" s="13" t="n">
        <f aca="false">(eps_air/H$5-1)/(eps_air/H$5+A_pore)</f>
        <v>-2.43144558568317</v>
      </c>
      <c r="J6" s="13" t="n">
        <f aca="false">(eps_air/J$5-1)/(eps_air/J$5+A_pore)</f>
        <v>-2.72623193068536</v>
      </c>
    </row>
    <row r="7" customFormat="false" ht="15" hidden="false" customHeight="false" outlineLevel="0" collapsed="false">
      <c r="A7" s="3" t="s">
        <v>147</v>
      </c>
      <c r="B7" s="13" t="n">
        <f aca="false">lam_PI*(1+A_BN_lam*((lam_BN_eff/lam_PI-1)/(lam_BN_eff/lam_PI+A_BN_lam))*B$4)/(1-((lam_BN_eff/lam_PI-1)/(lam_BN_eff/lam_PI+A_BN_lam))*(1+((1-phimax_BN_lam)/phimax_BN_lam^2)*B$4)*B$4)</f>
        <v>0.12</v>
      </c>
      <c r="D7" s="13" t="n">
        <f aca="false">lam_PI*(1+A_BN_lam*((lam_BN_eff/lam_PI-1)/(lam_BN_eff/lam_PI+A_BN_lam))*D$4)/(1-((lam_BN_eff/lam_PI-1)/(lam_BN_eff/lam_PI+A_BN_lam))*(1+((1-phimax_BN_lam)/phimax_BN_lam^2)*D$4)*D$4)</f>
        <v>0.168525054194957</v>
      </c>
      <c r="F7" s="13" t="n">
        <f aca="false">lam_PI*(1+A_BN_lam*((lam_BN_eff/lam_PI-1)/(lam_BN_eff/lam_PI+A_BN_lam))*F$4)/(1-((lam_BN_eff/lam_PI-1)/(lam_BN_eff/lam_PI+A_BN_lam))*(1+((1-phimax_BN_lam)/phimax_BN_lam^2)*F$4)*F$4)</f>
        <v>0.317798095706273</v>
      </c>
      <c r="H7" s="13" t="n">
        <f aca="false">lam_PI*(1+A_BN_lam*((lam_BN_eff/lam_PI-1)/(lam_BN_eff/lam_PI+A_BN_lam))*H$4)/(1-((lam_BN_eff/lam_PI-1)/(lam_BN_eff/lam_PI+A_BN_lam))*(1+((1-phimax_BN_lam)/phimax_BN_lam^2)*H$4)*H$4)</f>
        <v>0.6769868299631</v>
      </c>
      <c r="J7" s="13" t="n">
        <f aca="false">lam_PI*(1+A_BN_lam*((lam_BN_eff/lam_PI-1)/(lam_BN_eff/lam_PI+A_BN_lam))*J$4)/(1-((lam_BN_eff/lam_PI-1)/(lam_BN_eff/lam_PI+A_BN_lam))*(1+((1-phimax_BN_lam)/phimax_BN_lam^2)*J$4)*J$4)</f>
        <v>3.83303400158108</v>
      </c>
    </row>
    <row r="8" customFormat="false" ht="15" hidden="false" customHeight="false" outlineLevel="0" collapsed="false">
      <c r="A8" s="3" t="s">
        <v>148</v>
      </c>
      <c r="B8" s="13" t="n">
        <f aca="false">(lam_air/B$7-1)/(lam_air/B$7+A_pore)</f>
        <v>-2.64044943820225</v>
      </c>
      <c r="D8" s="13" t="n">
        <f aca="false">(lam_air/D$7-1)/(lam_air/D$7+A_pore)</f>
        <v>-3.60987382969456</v>
      </c>
      <c r="F8" s="13" t="n">
        <f aca="false">(lam_air/F$7-1)/(lam_air/F$7+A_pore)</f>
        <v>-5.67437305849632</v>
      </c>
      <c r="H8" s="13" t="n">
        <f aca="false">(lam_air/H$7-1)/(lam_air/H$7+A_pore)</f>
        <v>-8.12119993117916</v>
      </c>
      <c r="J8" s="13" t="n">
        <f aca="false">(lam_air/J$7-1)/(lam_air/J$7+A_pore)</f>
        <v>-11.4448138234724</v>
      </c>
    </row>
    <row r="10" customFormat="false" ht="15" hidden="false" customHeight="false" outlineLevel="0" collapsed="false">
      <c r="A10" s="5" t="s">
        <v>149</v>
      </c>
      <c r="B10" s="5" t="s">
        <v>150</v>
      </c>
      <c r="C10" s="5" t="s">
        <v>151</v>
      </c>
      <c r="D10" s="5" t="s">
        <v>152</v>
      </c>
      <c r="E10" s="5" t="s">
        <v>153</v>
      </c>
      <c r="F10" s="5" t="s">
        <v>154</v>
      </c>
      <c r="G10" s="5" t="s">
        <v>155</v>
      </c>
      <c r="H10" s="5" t="s">
        <v>156</v>
      </c>
      <c r="I10" s="5" t="s">
        <v>157</v>
      </c>
      <c r="J10" s="5" t="s">
        <v>158</v>
      </c>
      <c r="K10" s="5" t="s">
        <v>159</v>
      </c>
      <c r="N10" s="3" t="s">
        <v>160</v>
      </c>
    </row>
    <row r="11" customFormat="false" ht="15" hidden="false" customHeight="false" outlineLevel="0" collapsed="false">
      <c r="A11" s="4" t="n">
        <v>20</v>
      </c>
      <c r="B11" s="13" t="n">
        <f aca="false">B$5*(1+A_pore*B$6*($A11/100))/(1-B$6*(1+((1-phimax_pore)/phimax_pore^2)*($A11/100))*($A11/100))</f>
        <v>2.43680545928054</v>
      </c>
      <c r="C11" s="13" t="n">
        <f aca="false">B$7*(1+A_pore*B$8*($A11/100))/(1-B$8*(1+((1-phimax_pore)/phimax_pore^2)*($A11/100))*($A11/100))</f>
        <v>0.0751587619838726</v>
      </c>
      <c r="D11" s="13" t="n">
        <f aca="false">D$5*(1+A_pore*D$6*($A11/100))/(1-D$6*(1+((1-phimax_pore)/phimax_pore^2)*($A11/100))*($A11/100))</f>
        <v>2.48692905237646</v>
      </c>
      <c r="E11" s="13" t="n">
        <f aca="false">D$7*(1+A_pore*D$8*($A11/100))/(1-D$8*(1+((1-phimax_pore)/phimax_pore^2)*($A11/100))*($A11/100))</f>
        <v>0.0921358719173842</v>
      </c>
      <c r="F11" s="13" t="n">
        <f aca="false">F$5*(1+A_pore*F$6*($A11/100))/(1-F$6*(1+((1-phimax_pore)/phimax_pore^2)*($A11/100))*($A11/100))</f>
        <v>2.60445688588028</v>
      </c>
      <c r="G11" s="13" t="n">
        <f aca="false">F$7*(1+A_pore*F$8*($A11/100))/(1-F$8*(1+((1-phimax_pore)/phimax_pore^2)*($A11/100))*($A11/100))</f>
        <v>0.135198628183329</v>
      </c>
      <c r="H11" s="13" t="n">
        <f aca="false">H$5*(1+A_pore*H$6*($A11/100))/(1-H$6*(1+((1-phimax_pore)/phimax_pore^2)*($A11/100))*($A11/100))</f>
        <v>2.75292266887142</v>
      </c>
      <c r="I11" s="13" t="n">
        <f aca="false">H$7*(1+A_pore*H$8*($A11/100))/(1-H$8*(1+((1-phimax_pore)/phimax_pore^2)*($A11/100))*($A11/100))</f>
        <v>0.224170315310067</v>
      </c>
      <c r="J11" s="13" t="n">
        <f aca="false">J$5*(1+A_pore*J$6*($A11/100))/(1-J$6*(1+((1-phimax_pore)/phimax_pore^2)*($A11/100))*($A11/100))</f>
        <v>2.94739370586422</v>
      </c>
      <c r="K11" s="13" t="n">
        <f aca="false">J$7*(1+A_pore*J$8*($A11/100))/(1-J$8*(1+((1-phimax_pore)/phimax_pore^2)*($A11/100))*($A11/100))</f>
        <v>0.950664395243352</v>
      </c>
      <c r="N11" s="5" t="s">
        <v>61</v>
      </c>
      <c r="O11" s="5" t="s">
        <v>161</v>
      </c>
      <c r="P11" s="5" t="s">
        <v>162</v>
      </c>
      <c r="Q11" s="5" t="s">
        <v>163</v>
      </c>
    </row>
    <row r="12" customFormat="false" ht="15" hidden="false" customHeight="false" outlineLevel="0" collapsed="false">
      <c r="A12" s="4" t="n">
        <v>20.5</v>
      </c>
      <c r="B12" s="13" t="n">
        <f aca="false">B$5*(1+A_pore*B$6*($A12/100))/(1-B$6*(1+((1-phimax_pore)/phimax_pore^2)*($A12/100))*($A12/100))</f>
        <v>2.41780096037563</v>
      </c>
      <c r="C12" s="13" t="n">
        <f aca="false">B$7*(1+A_pore*B$8*($A12/100))/(1-B$8*(1+((1-phimax_pore)/phimax_pore^2)*($A12/100))*($A12/100))</f>
        <v>0.0744306183830359</v>
      </c>
      <c r="D12" s="13" t="n">
        <f aca="false">D$5*(1+A_pore*D$6*($A12/100))/(1-D$6*(1+((1-phimax_pore)/phimax_pore^2)*($A12/100))*($A12/100))</f>
        <v>2.46697974009525</v>
      </c>
      <c r="E12" s="13" t="n">
        <f aca="false">D$7*(1+A_pore*D$8*($A12/100))/(1-D$8*(1+((1-phimax_pore)/phimax_pore^2)*($A12/100))*($A12/100))</f>
        <v>0.0910373196156757</v>
      </c>
      <c r="F12" s="13" t="n">
        <f aca="false">F$5*(1+A_pore*F$6*($A12/100))/(1-F$6*(1+((1-phimax_pore)/phimax_pore^2)*($A12/100))*($A12/100))</f>
        <v>2.58224062655503</v>
      </c>
      <c r="G12" s="13" t="n">
        <f aca="false">F$7*(1+A_pore*F$8*($A12/100))/(1-F$8*(1+((1-phimax_pore)/phimax_pore^2)*($A12/100))*($A12/100))</f>
        <v>0.13308704624879</v>
      </c>
      <c r="H12" s="13" t="n">
        <f aca="false">H$5*(1+A_pore*H$6*($A12/100))/(1-H$6*(1+((1-phimax_pore)/phimax_pore^2)*($A12/100))*($A12/100))</f>
        <v>2.72774776567677</v>
      </c>
      <c r="I12" s="13" t="n">
        <f aca="false">H$7*(1+A_pore*H$8*($A12/100))/(1-H$8*(1+((1-phimax_pore)/phimax_pore^2)*($A12/100))*($A12/100))</f>
        <v>0.219920668609473</v>
      </c>
      <c r="J12" s="13" t="n">
        <f aca="false">J$5*(1+A_pore*J$6*($A12/100))/(1-J$6*(1+((1-phimax_pore)/phimax_pore^2)*($A12/100))*($A12/100))</f>
        <v>2.91820273763208</v>
      </c>
      <c r="K12" s="13" t="n">
        <f aca="false">J$7*(1+A_pore*J$8*($A12/100))/(1-J$8*(1+((1-phimax_pore)/phimax_pore^2)*($A12/100))*($A12/100))</f>
        <v>0.929127242721135</v>
      </c>
      <c r="N12" s="4" t="s">
        <v>83</v>
      </c>
      <c r="O12" s="4" t="n">
        <f aca="false">Samples!I8</f>
        <v>1.278</v>
      </c>
      <c r="P12" s="4" t="n">
        <f aca="false">Samples!H8</f>
        <v>0.305</v>
      </c>
      <c r="Q12" s="4" t="n">
        <f aca="false">Samples!C8</f>
        <v>54.2</v>
      </c>
    </row>
    <row r="13" customFormat="false" ht="15" hidden="false" customHeight="false" outlineLevel="0" collapsed="false">
      <c r="A13" s="4" t="n">
        <v>21</v>
      </c>
      <c r="B13" s="13" t="n">
        <f aca="false">B$5*(1+A_pore*B$6*($A13/100))/(1-B$6*(1+((1-phimax_pore)/phimax_pore^2)*($A13/100))*($A13/100))</f>
        <v>2.39905891085837</v>
      </c>
      <c r="C13" s="13" t="n">
        <f aca="false">B$7*(1+A_pore*B$8*($A13/100))/(1-B$8*(1+((1-phimax_pore)/phimax_pore^2)*($A13/100))*($A13/100))</f>
        <v>0.0737148207666488</v>
      </c>
      <c r="D13" s="13" t="n">
        <f aca="false">D$5*(1+A_pore*D$6*($A13/100))/(1-D$6*(1+((1-phimax_pore)/phimax_pore^2)*($A13/100))*($A13/100))</f>
        <v>2.44731343796761</v>
      </c>
      <c r="E13" s="13" t="n">
        <f aca="false">D$7*(1+A_pore*D$8*($A13/100))/(1-D$8*(1+((1-phimax_pore)/phimax_pore^2)*($A13/100))*($A13/100))</f>
        <v>0.0899613022014037</v>
      </c>
      <c r="F13" s="13" t="n">
        <f aca="false">F$5*(1+A_pore*F$6*($A13/100))/(1-F$6*(1+((1-phimax_pore)/phimax_pore^2)*($A13/100))*($A13/100))</f>
        <v>2.56035851379567</v>
      </c>
      <c r="G13" s="13" t="n">
        <f aca="false">F$7*(1+A_pore*F$8*($A13/100))/(1-F$8*(1+((1-phimax_pore)/phimax_pore^2)*($A13/100))*($A13/100))</f>
        <v>0.131030125040101</v>
      </c>
      <c r="H13" s="13" t="n">
        <f aca="false">H$5*(1+A_pore*H$6*($A13/100))/(1-H$6*(1+((1-phimax_pore)/phimax_pore^2)*($A13/100))*($A13/100))</f>
        <v>2.70297723646183</v>
      </c>
      <c r="I13" s="13" t="n">
        <f aca="false">H$7*(1+A_pore*H$8*($A13/100))/(1-H$8*(1+((1-phimax_pore)/phimax_pore^2)*($A13/100))*($A13/100))</f>
        <v>0.215798611924028</v>
      </c>
      <c r="J13" s="13" t="n">
        <f aca="false">J$5*(1+A_pore*J$6*($A13/100))/(1-J$6*(1+((1-phimax_pore)/phimax_pore^2)*($A13/100))*($A13/100))</f>
        <v>2.88951699027347</v>
      </c>
      <c r="K13" s="13" t="n">
        <f aca="false">J$7*(1+A_pore*J$8*($A13/100))/(1-J$8*(1+((1-phimax_pore)/phimax_pore^2)*($A13/100))*($A13/100))</f>
        <v>0.908314669800772</v>
      </c>
      <c r="N13" s="4" t="s">
        <v>86</v>
      </c>
      <c r="O13" s="4" t="n">
        <f aca="false">Samples!I13</f>
        <v>1.622</v>
      </c>
      <c r="P13" s="4" t="n">
        <f aca="false">Samples!H13</f>
        <v>0.279</v>
      </c>
      <c r="Q13" s="4" t="n">
        <f aca="false">Samples!C13</f>
        <v>48.8</v>
      </c>
    </row>
    <row r="14" customFormat="false" ht="15" hidden="false" customHeight="false" outlineLevel="0" collapsed="false">
      <c r="A14" s="4" t="n">
        <v>21.5</v>
      </c>
      <c r="B14" s="13" t="n">
        <f aca="false">B$5*(1+A_pore*B$6*($A14/100))/(1-B$6*(1+((1-phimax_pore)/phimax_pore^2)*($A14/100))*($A14/100))</f>
        <v>2.38057391570585</v>
      </c>
      <c r="C14" s="13" t="n">
        <f aca="false">B$7*(1+A_pore*B$8*($A14/100))/(1-B$8*(1+((1-phimax_pore)/phimax_pore^2)*($A14/100))*($A14/100))</f>
        <v>0.0730110579937565</v>
      </c>
      <c r="D14" s="13" t="n">
        <f aca="false">D$5*(1+A_pore*D$6*($A14/100))/(1-D$6*(1+((1-phimax_pore)/phimax_pore^2)*($A14/100))*($A14/100))</f>
        <v>2.42792417069122</v>
      </c>
      <c r="E14" s="13" t="n">
        <f aca="false">D$7*(1+A_pore*D$8*($A14/100))/(1-D$8*(1+((1-phimax_pore)/phimax_pore^2)*($A14/100))*($A14/100))</f>
        <v>0.0889071337559735</v>
      </c>
      <c r="F14" s="13" t="n">
        <f aca="false">F$5*(1+A_pore*F$6*($A14/100))/(1-F$6*(1+((1-phimax_pore)/phimax_pore^2)*($A14/100))*($A14/100))</f>
        <v>2.53880307080363</v>
      </c>
      <c r="G14" s="13" t="n">
        <f aca="false">F$7*(1+A_pore*F$8*($A14/100))/(1-F$8*(1+((1-phimax_pore)/phimax_pore^2)*($A14/100))*($A14/100))</f>
        <v>0.129025770533212</v>
      </c>
      <c r="H14" s="13" t="n">
        <f aca="false">H$5*(1+A_pore*H$6*($A14/100))/(1-H$6*(1+((1-phimax_pore)/phimax_pore^2)*($A14/100))*($A14/100))</f>
        <v>2.67860142285132</v>
      </c>
      <c r="I14" s="13" t="n">
        <f aca="false">H$7*(1+A_pore*H$8*($A14/100))/(1-H$8*(1+((1-phimax_pore)/phimax_pore^2)*($A14/100))*($A14/100))</f>
        <v>0.211798487809678</v>
      </c>
      <c r="J14" s="13" t="n">
        <f aca="false">J$5*(1+A_pore*J$6*($A14/100))/(1-J$6*(1+((1-phimax_pore)/phimax_pore^2)*($A14/100))*($A14/100))</f>
        <v>2.86132346914378</v>
      </c>
      <c r="K14" s="13" t="n">
        <f aca="false">J$7*(1+A_pore*J$8*($A14/100))/(1-J$8*(1+((1-phimax_pore)/phimax_pore^2)*($A14/100))*($A14/100))</f>
        <v>0.888190741353959</v>
      </c>
    </row>
    <row r="15" customFormat="false" ht="15" hidden="false" customHeight="false" outlineLevel="0" collapsed="false">
      <c r="A15" s="4" t="n">
        <v>22</v>
      </c>
      <c r="B15" s="13" t="n">
        <f aca="false">B$5*(1+A_pore*B$6*($A15/100))/(1-B$6*(1+((1-phimax_pore)/phimax_pore^2)*($A15/100))*($A15/100))</f>
        <v>2.3623407267579</v>
      </c>
      <c r="C15" s="13" t="n">
        <f aca="false">B$7*(1+A_pore*B$8*($A15/100))/(1-B$8*(1+((1-phimax_pore)/phimax_pore^2)*($A15/100))*($A15/100))</f>
        <v>0.0723190292913441</v>
      </c>
      <c r="D15" s="13" t="n">
        <f aca="false">D$5*(1+A_pore*D$6*($A15/100))/(1-D$6*(1+((1-phimax_pore)/phimax_pore^2)*($A15/100))*($A15/100))</f>
        <v>2.40880612999904</v>
      </c>
      <c r="E15" s="13" t="n">
        <f aca="false">D$7*(1+A_pore*D$8*($A15/100))/(1-D$8*(1+((1-phimax_pore)/phimax_pore^2)*($A15/100))*($A15/100))</f>
        <v>0.0878741559184894</v>
      </c>
      <c r="F15" s="13" t="n">
        <f aca="false">F$5*(1+A_pore*F$6*($A15/100))/(1-F$6*(1+((1-phimax_pore)/phimax_pore^2)*($A15/100))*($A15/100))</f>
        <v>2.51756704219365</v>
      </c>
      <c r="G15" s="13" t="n">
        <f aca="false">F$7*(1+A_pore*F$8*($A15/100))/(1-F$8*(1+((1-phimax_pore)/phimax_pore^2)*($A15/100))*($A15/100))</f>
        <v>0.127071994316461</v>
      </c>
      <c r="H15" s="13" t="n">
        <f aca="false">H$5*(1+A_pore*H$6*($A15/100))/(1-H$6*(1+((1-phimax_pore)/phimax_pore^2)*($A15/100))*($A15/100))</f>
        <v>2.65461097162305</v>
      </c>
      <c r="I15" s="13" t="n">
        <f aca="false">H$7*(1+A_pore*H$8*($A15/100))/(1-H$8*(1+((1-phimax_pore)/phimax_pore^2)*($A15/100))*($A15/100))</f>
        <v>0.207914968424197</v>
      </c>
      <c r="J15" s="13" t="n">
        <f aca="false">J$5*(1+A_pore*J$6*($A15/100))/(1-J$6*(1+((1-phimax_pore)/phimax_pore^2)*($A15/100))*($A15/100))</f>
        <v>2.83360962145045</v>
      </c>
      <c r="K15" s="13" t="n">
        <f aca="false">J$7*(1+A_pore*J$8*($A15/100))/(1-J$8*(1+((1-phimax_pore)/phimax_pore^2)*($A15/100))*($A15/100))</f>
        <v>0.868721859847314</v>
      </c>
      <c r="N15" s="7" t="s">
        <v>164</v>
      </c>
    </row>
    <row r="16" customFormat="false" ht="15" hidden="false" customHeight="false" outlineLevel="0" collapsed="false">
      <c r="A16" s="4" t="n">
        <v>22.5</v>
      </c>
      <c r="B16" s="13" t="n">
        <f aca="false">B$5*(1+A_pore*B$6*($A16/100))/(1-B$6*(1+((1-phimax_pore)/phimax_pore^2)*($A16/100))*($A16/100))</f>
        <v>2.34435423775346</v>
      </c>
      <c r="C16" s="13" t="n">
        <f aca="false">B$7*(1+A_pore*B$8*($A16/100))/(1-B$8*(1+((1-phimax_pore)/phimax_pore^2)*($A16/100))*($A16/100))</f>
        <v>0.071638443826049</v>
      </c>
      <c r="D16" s="13" t="n">
        <f aca="false">D$5*(1+A_pore*D$6*($A16/100))/(1-D$6*(1+((1-phimax_pore)/phimax_pore^2)*($A16/100))*($A16/100))</f>
        <v>2.38995366886316</v>
      </c>
      <c r="E16" s="13" t="n">
        <f aca="false">D$7*(1+A_pore*D$8*($A16/100))/(1-D$8*(1+((1-phimax_pore)/phimax_pore^2)*($A16/100))*($A16/100))</f>
        <v>0.0868617365155585</v>
      </c>
      <c r="F16" s="13" t="n">
        <f aca="false">F$5*(1+A_pore*F$6*($A16/100))/(1-F$6*(1+((1-phimax_pore)/phimax_pore^2)*($A16/100))*($A16/100))</f>
        <v>2.49664338585795</v>
      </c>
      <c r="G16" s="13" t="n">
        <f aca="false">F$7*(1+A_pore*F$8*($A16/100))/(1-F$8*(1+((1-phimax_pore)/phimax_pore^2)*($A16/100))*($A16/100))</f>
        <v>0.125166907015261</v>
      </c>
      <c r="H16" s="13" t="n">
        <f aca="false">H$5*(1+A_pore*H$6*($A16/100))/(1-H$6*(1+((1-phimax_pore)/phimax_pore^2)*($A16/100))*($A16/100))</f>
        <v>2.63099682275078</v>
      </c>
      <c r="I16" s="13" t="n">
        <f aca="false">H$7*(1+A_pore*H$8*($A16/100))/(1-H$8*(1+((1-phimax_pore)/phimax_pore^2)*($A16/100))*($A16/100))</f>
        <v>0.204143031868591</v>
      </c>
      <c r="J16" s="13" t="n">
        <f aca="false">J$5*(1+A_pore*J$6*($A16/100))/(1-J$6*(1+((1-phimax_pore)/phimax_pore^2)*($A16/100))*($A16/100))</f>
        <v>2.80636331763119</v>
      </c>
      <c r="K16" s="13" t="n">
        <f aca="false">J$7*(1+A_pore*J$8*($A16/100))/(1-J$8*(1+((1-phimax_pore)/phimax_pore^2)*($A16/100))*($A16/100))</f>
        <v>0.849876578307165</v>
      </c>
      <c r="N16" s="7" t="s">
        <v>165</v>
      </c>
    </row>
    <row r="17" customFormat="false" ht="15" hidden="false" customHeight="false" outlineLevel="0" collapsed="false">
      <c r="A17" s="4" t="n">
        <v>23</v>
      </c>
      <c r="B17" s="13" t="n">
        <f aca="false">B$5*(1+A_pore*B$6*($A17/100))/(1-B$6*(1+((1-phimax_pore)/phimax_pore^2)*($A17/100))*($A17/100))</f>
        <v>2.32660947956698</v>
      </c>
      <c r="C17" s="13" t="n">
        <f aca="false">B$7*(1+A_pore*B$8*($A17/100))/(1-B$8*(1+((1-phimax_pore)/phimax_pore^2)*($A17/100))*($A17/100))</f>
        <v>0.0709690202969309</v>
      </c>
      <c r="D17" s="13" t="n">
        <f aca="false">D$5*(1+A_pore*D$6*($A17/100))/(1-D$6*(1+((1-phimax_pore)/phimax_pore^2)*($A17/100))*($A17/100))</f>
        <v>2.37136129593832</v>
      </c>
      <c r="E17" s="13" t="n">
        <f aca="false">D$7*(1+A_pore*D$8*($A17/100))/(1-D$8*(1+((1-phimax_pore)/phimax_pore^2)*($A17/100))*($A17/100))</f>
        <v>0.0858692682720411</v>
      </c>
      <c r="F17" s="13" t="n">
        <f aca="false">F$5*(1+A_pore*F$6*($A17/100))/(1-F$6*(1+((1-phimax_pore)/phimax_pore^2)*($A17/100))*($A17/100))</f>
        <v>2.47602526518667</v>
      </c>
      <c r="G17" s="13" t="n">
        <f aca="false">F$7*(1+A_pore*F$8*($A17/100))/(1-F$8*(1+((1-phimax_pore)/phimax_pore^2)*($A17/100))*($A17/100))</f>
        <v>0.123308712201997</v>
      </c>
      <c r="H17" s="13" t="n">
        <f aca="false">H$5*(1+A_pore*H$6*($A17/100))/(1-H$6*(1+((1-phimax_pore)/phimax_pore^2)*($A17/100))*($A17/100))</f>
        <v>2.60775019800509</v>
      </c>
      <c r="I17" s="13" t="n">
        <f aca="false">H$7*(1+A_pore*H$8*($A17/100))/(1-H$8*(1+((1-phimax_pore)/phimax_pore^2)*($A17/100))*($A17/100))</f>
        <v>0.200477940537484</v>
      </c>
      <c r="J17" s="13" t="n">
        <f aca="false">J$5*(1+A_pore*J$6*($A17/100))/(1-J$6*(1+((1-phimax_pore)/phimax_pore^2)*($A17/100))*($A17/100))</f>
        <v>2.77957283366594</v>
      </c>
      <c r="K17" s="13" t="n">
        <f aca="false">J$7*(1+A_pore*J$8*($A17/100))/(1-J$8*(1+((1-phimax_pore)/phimax_pore^2)*($A17/100))*($A17/100))</f>
        <v>0.831625430959524</v>
      </c>
    </row>
    <row r="18" customFormat="false" ht="15" hidden="false" customHeight="false" outlineLevel="0" collapsed="false">
      <c r="A18" s="4" t="n">
        <v>23.5</v>
      </c>
      <c r="B18" s="13" t="n">
        <f aca="false">B$5*(1+A_pore*B$6*($A18/100))/(1-B$6*(1+((1-phimax_pore)/phimax_pore^2)*($A18/100))*($A18/100))</f>
        <v>2.30910161563544</v>
      </c>
      <c r="C18" s="13" t="n">
        <f aca="false">B$7*(1+A_pore*B$8*($A18/100))/(1-B$8*(1+((1-phimax_pore)/phimax_pore^2)*($A18/100))*($A18/100))</f>
        <v>0.0703104865480995</v>
      </c>
      <c r="D18" s="13" t="n">
        <f aca="false">D$5*(1+A_pore*D$6*($A18/100))/(1-D$6*(1+((1-phimax_pore)/phimax_pore^2)*($A18/100))*($A18/100))</f>
        <v>2.35302367023359</v>
      </c>
      <c r="E18" s="13" t="n">
        <f aca="false">D$7*(1+A_pore*D$8*($A18/100))/(1-D$8*(1+((1-phimax_pore)/phimax_pore^2)*($A18/100))*($A18/100))</f>
        <v>0.0848961675972255</v>
      </c>
      <c r="F18" s="13" t="n">
        <f aca="false">F$5*(1+A_pore*F$6*($A18/100))/(1-F$6*(1+((1-phimax_pore)/phimax_pore^2)*($A18/100))*($A18/100))</f>
        <v>2.45570604162621</v>
      </c>
      <c r="G18" s="13" t="n">
        <f aca="false">F$7*(1+A_pore*F$8*($A18/100))/(1-F$8*(1+((1-phimax_pore)/phimax_pore^2)*($A18/100))*($A18/100))</f>
        <v>0.121495700749853</v>
      </c>
      <c r="H18" s="13" t="n">
        <f aca="false">H$5*(1+A_pore*H$6*($A18/100))/(1-H$6*(1+((1-phimax_pore)/phimax_pore^2)*($A18/100))*($A18/100))</f>
        <v>2.58486259008183</v>
      </c>
      <c r="I18" s="13" t="n">
        <f aca="false">H$7*(1+A_pore*H$8*($A18/100))/(1-H$8*(1+((1-phimax_pore)/phimax_pore^2)*($A18/100))*($A18/100))</f>
        <v>0.196915221282267</v>
      </c>
      <c r="J18" s="13" t="n">
        <f aca="false">J$5*(1+A_pore*J$6*($A18/100))/(1-J$6*(1+((1-phimax_pore)/phimax_pore^2)*($A18/100))*($A18/100))</f>
        <v>2.75322683426869</v>
      </c>
      <c r="K18" s="13" t="n">
        <f aca="false">J$7*(1+A_pore*J$8*($A18/100))/(1-J$8*(1+((1-phimax_pore)/phimax_pore^2)*($A18/100))*($A18/100))</f>
        <v>0.813940779626742</v>
      </c>
    </row>
    <row r="19" customFormat="false" ht="15" hidden="false" customHeight="false" outlineLevel="0" collapsed="false">
      <c r="A19" s="4" t="n">
        <v>24</v>
      </c>
      <c r="B19" s="13" t="n">
        <f aca="false">B$5*(1+A_pore*B$6*($A19/100))/(1-B$6*(1+((1-phimax_pore)/phimax_pore^2)*($A19/100))*($A19/100))</f>
        <v>2.29182593756711</v>
      </c>
      <c r="C19" s="13" t="n">
        <f aca="false">B$7*(1+A_pore*B$8*($A19/100))/(1-B$8*(1+((1-phimax_pore)/phimax_pore^2)*($A19/100))*($A19/100))</f>
        <v>0.0696625792000808</v>
      </c>
      <c r="D19" s="13" t="n">
        <f aca="false">D$5*(1+A_pore*D$6*($A19/100))/(1-D$6*(1+((1-phimax_pore)/phimax_pore^2)*($A19/100))*($A19/100))</f>
        <v>2.33493559600145</v>
      </c>
      <c r="E19" s="13" t="n">
        <f aca="false">D$7*(1+A_pore*D$8*($A19/100))/(1-D$8*(1+((1-phimax_pore)/phimax_pore^2)*($A19/100))*($A19/100))</f>
        <v>0.0839418734413276</v>
      </c>
      <c r="F19" s="13" t="n">
        <f aca="false">F$5*(1+A_pore*F$6*($A19/100))/(1-F$6*(1+((1-phimax_pore)/phimax_pore^2)*($A19/100))*($A19/100))</f>
        <v>2.43567926755877</v>
      </c>
      <c r="G19" s="13" t="n">
        <f aca="false">F$7*(1+A_pore*F$8*($A19/100))/(1-F$8*(1+((1-phimax_pore)/phimax_pore^2)*($A19/100))*($A19/100))</f>
        <v>0.119726245593285</v>
      </c>
      <c r="H19" s="13" t="n">
        <f aca="false">H$5*(1+A_pore*H$6*($A19/100))/(1-H$6*(1+((1-phimax_pore)/phimax_pore^2)*($A19/100))*($A19/100))</f>
        <v>2.56232575223015</v>
      </c>
      <c r="I19" s="13" t="n">
        <f aca="false">H$7*(1+A_pore*H$8*($A19/100))/(1-H$8*(1+((1-phimax_pore)/phimax_pore^2)*($A19/100))*($A19/100))</f>
        <v>0.193450647212332</v>
      </c>
      <c r="J19" s="13" t="n">
        <f aca="false">J$5*(1+A_pore*J$6*($A19/100))/(1-J$6*(1+((1-phimax_pore)/phimax_pore^2)*($A19/100))*($A19/100))</f>
        <v>2.72731435690832</v>
      </c>
      <c r="K19" s="13" t="n">
        <f aca="false">J$7*(1+A_pore*J$8*($A19/100))/(1-J$8*(1+((1-phimax_pore)/phimax_pore^2)*($A19/100))*($A19/100))</f>
        <v>0.796796674196675</v>
      </c>
    </row>
    <row r="20" customFormat="false" ht="15" hidden="false" customHeight="false" outlineLevel="0" collapsed="false">
      <c r="A20" s="4" t="n">
        <v>24.5</v>
      </c>
      <c r="B20" s="13" t="n">
        <f aca="false">B$5*(1+A_pore*B$6*($A20/100))/(1-B$6*(1+((1-phimax_pore)/phimax_pore^2)*($A20/100))*($A20/100))</f>
        <v>2.27477786092377</v>
      </c>
      <c r="C20" s="13" t="n">
        <f aca="false">B$7*(1+A_pore*B$8*($A20/100))/(1-B$8*(1+((1-phimax_pore)/phimax_pore^2)*($A20/100))*($A20/100))</f>
        <v>0.0690250432988713</v>
      </c>
      <c r="D20" s="13" t="n">
        <f aca="false">D$5*(1+A_pore*D$6*($A20/100))/(1-D$6*(1+((1-phimax_pore)/phimax_pore^2)*($A20/100))*($A20/100))</f>
        <v>2.31709201783394</v>
      </c>
      <c r="E20" s="13" t="n">
        <f aca="false">D$7*(1+A_pore*D$8*($A20/100))/(1-D$8*(1+((1-phimax_pore)/phimax_pore^2)*($A20/100))*($A20/100))</f>
        <v>0.0830058462176075</v>
      </c>
      <c r="F20" s="13" t="n">
        <f aca="false">F$5*(1+A_pore*F$6*($A20/100))/(1-F$6*(1+((1-phimax_pore)/phimax_pore^2)*($A20/100))*($A20/100))</f>
        <v>2.41593867948675</v>
      </c>
      <c r="G20" s="13" t="n">
        <f aca="false">F$7*(1+A_pore*F$8*($A20/100))/(1-F$8*(1+((1-phimax_pore)/phimax_pore^2)*($A20/100))*($A20/100))</f>
        <v>0.117998796861372</v>
      </c>
      <c r="H20" s="13" t="n">
        <f aca="false">H$5*(1+A_pore*H$6*($A20/100))/(1-H$6*(1+((1-phimax_pore)/phimax_pore^2)*($A20/100))*($A20/100))</f>
        <v>2.54013168835327</v>
      </c>
      <c r="I20" s="13" t="n">
        <f aca="false">H$7*(1+A_pore*H$8*($A20/100))/(1-H$8*(1+((1-phimax_pore)/phimax_pore^2)*($A20/100))*($A20/100))</f>
        <v>0.190080220978752</v>
      </c>
      <c r="J20" s="13" t="n">
        <f aca="false">J$5*(1+A_pore*J$6*($A20/100))/(1-J$6*(1+((1-phimax_pore)/phimax_pore^2)*($A20/100))*($A20/100))</f>
        <v>2.70182479661122</v>
      </c>
      <c r="K20" s="13" t="n">
        <f aca="false">J$7*(1+A_pore*J$8*($A20/100))/(1-J$8*(1+((1-phimax_pore)/phimax_pore^2)*($A20/100))*($A20/100))</f>
        <v>0.780168725682849</v>
      </c>
    </row>
    <row r="21" customFormat="false" ht="15" hidden="false" customHeight="false" outlineLevel="0" collapsed="false">
      <c r="A21" s="4" t="n">
        <v>25</v>
      </c>
      <c r="B21" s="13" t="n">
        <f aca="false">B$5*(1+A_pore*B$6*($A21/100))/(1-B$6*(1+((1-phimax_pore)/phimax_pore^2)*($A21/100))*($A21/100))</f>
        <v>2.25795292116835</v>
      </c>
      <c r="C21" s="13" t="n">
        <f aca="false">B$7*(1+A_pore*B$8*($A21/100))/(1-B$8*(1+((1-phimax_pore)/phimax_pore^2)*($A21/100))*($A21/100))</f>
        <v>0.0683976319816994</v>
      </c>
      <c r="D21" s="13" t="n">
        <f aca="false">D$5*(1+A_pore*D$6*($A21/100))/(1-D$6*(1+((1-phimax_pore)/phimax_pore^2)*($A21/100))*($A21/100))</f>
        <v>2.29948801595611</v>
      </c>
      <c r="E21" s="13" t="n">
        <f aca="false">D$7*(1+A_pore*D$8*($A21/100))/(1-D$8*(1+((1-phimax_pore)/phimax_pore^2)*($A21/100))*($A21/100))</f>
        <v>0.0820875667857523</v>
      </c>
      <c r="F21" s="13" t="n">
        <f aca="false">F$5*(1+A_pore*F$6*($A21/100))/(1-F$6*(1+((1-phimax_pore)/phimax_pore^2)*($A21/100))*($A21/100))</f>
        <v>2.39647819150716</v>
      </c>
      <c r="G21" s="13" t="n">
        <f aca="false">F$7*(1+A_pore*F$8*($A21/100))/(1-F$8*(1+((1-phimax_pore)/phimax_pore^2)*($A21/100))*($A21/100))</f>
        <v>0.116311877353441</v>
      </c>
      <c r="H21" s="13" t="n">
        <f aca="false">H$5*(1+A_pore*H$6*($A21/100))/(1-H$6*(1+((1-phimax_pore)/phimax_pore^2)*($A21/100))*($A21/100))</f>
        <v>2.51827264355729</v>
      </c>
      <c r="I21" s="13" t="n">
        <f aca="false">H$7*(1+A_pore*H$8*($A21/100))/(1-H$8*(1+((1-phimax_pore)/phimax_pore^2)*($A21/100))*($A21/100))</f>
        <v>0.18680015940138</v>
      </c>
      <c r="J21" s="13" t="n">
        <f aca="false">J$5*(1+A_pore*J$6*($A21/100))/(1-J$6*(1+((1-phimax_pore)/phimax_pore^2)*($A21/100))*($A21/100))</f>
        <v>2.67674789150145</v>
      </c>
      <c r="K21" s="13" t="n">
        <f aca="false">J$7*(1+A_pore*J$8*($A21/100))/(1-J$8*(1+((1-phimax_pore)/phimax_pore^2)*($A21/100))*($A21/100))</f>
        <v>0.764033990569709</v>
      </c>
    </row>
    <row r="22" customFormat="false" ht="15" hidden="false" customHeight="false" outlineLevel="0" collapsed="false">
      <c r="A22" s="4" t="n">
        <v>25.5</v>
      </c>
      <c r="B22" s="13" t="n">
        <f aca="false">B$5*(1+A_pore*B$6*($A22/100))/(1-B$6*(1+((1-phimax_pore)/phimax_pore^2)*($A22/100))*($A22/100))</f>
        <v>2.24134676977053</v>
      </c>
      <c r="C22" s="13" t="n">
        <f aca="false">B$7*(1+A_pore*B$8*($A22/100))/(1-B$8*(1+((1-phimax_pore)/phimax_pore^2)*($A22/100))*($A22/100))</f>
        <v>0.0677801061585723</v>
      </c>
      <c r="D22" s="13" t="n">
        <f aca="false">D$5*(1+A_pore*D$6*($A22/100))/(1-D$6*(1+((1-phimax_pore)/phimax_pore^2)*($A22/100))*($A22/100))</f>
        <v>2.2821188017077</v>
      </c>
      <c r="E22" s="13" t="n">
        <f aca="false">D$7*(1+A_pore*D$8*($A22/100))/(1-D$8*(1+((1-phimax_pore)/phimax_pore^2)*($A22/100))*($A22/100))</f>
        <v>0.0811865354925005</v>
      </c>
      <c r="F22" s="13" t="n">
        <f aca="false">F$5*(1+A_pore*F$6*($A22/100))/(1-F$6*(1+((1-phimax_pore)/phimax_pore^2)*($A22/100))*($A22/100))</f>
        <v>2.3772918890615</v>
      </c>
      <c r="G22" s="13" t="n">
        <f aca="false">F$7*(1+A_pore*F$8*($A22/100))/(1-F$8*(1+((1-phimax_pore)/phimax_pore^2)*($A22/100))*($A22/100))</f>
        <v>0.114664078329223</v>
      </c>
      <c r="H22" s="13" t="n">
        <f aca="false">H$5*(1+A_pore*H$6*($A22/100))/(1-H$6*(1+((1-phimax_pore)/phimax_pore^2)*($A22/100))*($A22/100))</f>
        <v>2.49674109512434</v>
      </c>
      <c r="I22" s="13" t="n">
        <f aca="false">H$7*(1+A_pore*H$8*($A22/100))/(1-H$8*(1+((1-phimax_pore)/phimax_pore^2)*($A22/100))*($A22/100))</f>
        <v>0.183606879315091</v>
      </c>
      <c r="J22" s="13" t="n">
        <f aca="false">J$5*(1+A_pore*J$6*($A22/100))/(1-J$6*(1+((1-phimax_pore)/phimax_pore^2)*($A22/100))*($A22/100))</f>
        <v>2.65207370903697</v>
      </c>
      <c r="K22" s="13" t="n">
        <f aca="false">J$7*(1+A_pore*J$8*($A22/100))/(1-J$8*(1+((1-phimax_pore)/phimax_pore^2)*($A22/100))*($A22/100))</f>
        <v>0.748370865289576</v>
      </c>
    </row>
    <row r="23" customFormat="false" ht="15" hidden="false" customHeight="false" outlineLevel="0" collapsed="false">
      <c r="A23" s="4" t="n">
        <v>26</v>
      </c>
      <c r="B23" s="13" t="n">
        <f aca="false">B$5*(1+A_pore*B$6*($A23/100))/(1-B$6*(1+((1-phimax_pore)/phimax_pore^2)*($A23/100))*($A23/100))</f>
        <v>2.22495517046316</v>
      </c>
      <c r="C23" s="13" t="n">
        <f aca="false">B$7*(1+A_pore*B$8*($A23/100))/(1-B$8*(1+((1-phimax_pore)/phimax_pore^2)*($A23/100))*($A23/100))</f>
        <v>0.0671722342087461</v>
      </c>
      <c r="D23" s="13" t="n">
        <f aca="false">D$5*(1+A_pore*D$6*($A23/100))/(1-D$6*(1+((1-phimax_pore)/phimax_pore^2)*($A23/100))*($A23/100))</f>
        <v>2.26497971320417</v>
      </c>
      <c r="E23" s="13" t="n">
        <f aca="false">D$7*(1+A_pore*D$8*($A23/100))/(1-D$8*(1+((1-phimax_pore)/phimax_pore^2)*($A23/100))*($A23/100))</f>
        <v>0.0803022712657817</v>
      </c>
      <c r="F23" s="13" t="n">
        <f aca="false">F$5*(1+A_pore*F$6*($A23/100))/(1-F$6*(1+((1-phimax_pore)/phimax_pore^2)*($A23/100))*($A23/100))</f>
        <v>2.35837402294782</v>
      </c>
      <c r="G23" s="13" t="n">
        <f aca="false">F$7*(1+A_pore*F$8*($A23/100))/(1-F$8*(1+((1-phimax_pore)/phimax_pore^2)*($A23/100))*($A23/100))</f>
        <v>0.113054055588303</v>
      </c>
      <c r="H23" s="13" t="n">
        <f aca="false">H$5*(1+A_pore*H$6*($A23/100))/(1-H$6*(1+((1-phimax_pore)/phimax_pore^2)*($A23/100))*($A23/100))</f>
        <v>2.47552974388818</v>
      </c>
      <c r="I23" s="13" t="n">
        <f aca="false">H$7*(1+A_pore*H$8*($A23/100))/(1-H$8*(1+((1-phimax_pore)/phimax_pore^2)*($A23/100))*($A23/100))</f>
        <v>0.18049698452384</v>
      </c>
      <c r="J23" s="13" t="n">
        <f aca="false">J$5*(1+A_pore*J$6*($A23/100))/(1-J$6*(1+((1-phimax_pore)/phimax_pore^2)*($A23/100))*($A23/100))</f>
        <v>2.62779263290314</v>
      </c>
      <c r="K23" s="13" t="n">
        <f aca="false">J$7*(1+A_pore*J$8*($A23/100))/(1-J$8*(1+((1-phimax_pore)/phimax_pore^2)*($A23/100))*($A23/100))</f>
        <v>0.733158989810717</v>
      </c>
    </row>
    <row r="24" customFormat="false" ht="15" hidden="false" customHeight="false" outlineLevel="0" collapsed="false">
      <c r="A24" s="4" t="n">
        <v>26.5</v>
      </c>
      <c r="B24" s="13" t="n">
        <f aca="false">B$5*(1+A_pore*B$6*($A24/100))/(1-B$6*(1+((1-phimax_pore)/phimax_pore^2)*($A24/100))*($A24/100))</f>
        <v>2.20877399564271</v>
      </c>
      <c r="C24" s="13" t="n">
        <f aca="false">B$7*(1+A_pore*B$8*($A24/100))/(1-B$8*(1+((1-phimax_pore)/phimax_pore^2)*($A24/100))*($A24/100))</f>
        <v>0.0665737916913083</v>
      </c>
      <c r="D24" s="13" t="n">
        <f aca="false">D$5*(1+A_pore*D$6*($A24/100))/(1-D$6*(1+((1-phimax_pore)/phimax_pore^2)*($A24/100))*($A24/100))</f>
        <v>2.24806621116892</v>
      </c>
      <c r="E24" s="13" t="n">
        <f aca="false">D$7*(1+A_pore*D$8*($A24/100))/(1-D$8*(1+((1-phimax_pore)/phimax_pore^2)*($A24/100))*($A24/100))</f>
        <v>0.0794343107589228</v>
      </c>
      <c r="F24" s="13" t="n">
        <f aca="false">F$5*(1+A_pore*F$6*($A24/100))/(1-F$6*(1+((1-phimax_pore)/phimax_pore^2)*($A24/100))*($A24/100))</f>
        <v>2.33971900358212</v>
      </c>
      <c r="G24" s="13" t="n">
        <f aca="false">F$7*(1+A_pore*F$8*($A24/100))/(1-F$8*(1+((1-phimax_pore)/phimax_pore^2)*($A24/100))*($A24/100))</f>
        <v>0.111480525815947</v>
      </c>
      <c r="H24" s="13" t="n">
        <f aca="false">H$5*(1+A_pore*H$6*($A24/100))/(1-H$6*(1+((1-phimax_pore)/phimax_pore^2)*($A24/100))*($A24/100))</f>
        <v>2.45463150599136</v>
      </c>
      <c r="I24" s="13" t="n">
        <f aca="false">H$7*(1+A_pore*H$8*($A24/100))/(1-H$8*(1+((1-phimax_pore)/phimax_pore^2)*($A24/100))*($A24/100))</f>
        <v>0.177467253762666</v>
      </c>
      <c r="J24" s="13" t="n">
        <f aca="false">J$5*(1+A_pore*J$6*($A24/100))/(1-J$6*(1+((1-phimax_pore)/phimax_pore^2)*($A24/100))*($A24/100))</f>
        <v>2.60389535052728</v>
      </c>
      <c r="K24" s="13" t="n">
        <f aca="false">J$7*(1+A_pore*J$8*($A24/100))/(1-J$8*(1+((1-phimax_pore)/phimax_pore^2)*($A24/100))*($A24/100))</f>
        <v>0.71837915943176</v>
      </c>
    </row>
    <row r="25" customFormat="false" ht="15" hidden="false" customHeight="false" outlineLevel="0" collapsed="false">
      <c r="A25" s="4" t="n">
        <v>27</v>
      </c>
      <c r="B25" s="13" t="n">
        <f aca="false">B$5*(1+A_pore*B$6*($A25/100))/(1-B$6*(1+((1-phimax_pore)/phimax_pore^2)*($A25/100))*($A25/100))</f>
        <v>2.19279922290734</v>
      </c>
      <c r="C25" s="13" t="n">
        <f aca="false">B$7*(1+A_pore*B$8*($A25/100))/(1-B$8*(1+((1-phimax_pore)/phimax_pore^2)*($A25/100))*($A25/100))</f>
        <v>0.0659845610691156</v>
      </c>
      <c r="D25" s="13" t="n">
        <f aca="false">D$5*(1+A_pore*D$6*($A25/100))/(1-D$6*(1+((1-phimax_pore)/phimax_pore^2)*($A25/100))*($A25/100))</f>
        <v>2.23137387492893</v>
      </c>
      <c r="E25" s="13" t="n">
        <f aca="false">D$7*(1+A_pore*D$8*($A25/100))/(1-D$8*(1+((1-phimax_pore)/phimax_pore^2)*($A25/100))*($A25/100))</f>
        <v>0.07858220754172</v>
      </c>
      <c r="F25" s="13" t="n">
        <f aca="false">F$5*(1+A_pore*F$6*($A25/100))/(1-F$6*(1+((1-phimax_pore)/phimax_pore^2)*($A25/100))*($A25/100))</f>
        <v>2.3213213954971</v>
      </c>
      <c r="G25" s="13" t="n">
        <f aca="false">F$7*(1+A_pore*F$8*($A25/100))/(1-F$8*(1+((1-phimax_pore)/phimax_pore^2)*($A25/100))*($A25/100))</f>
        <v>0.109942263174424</v>
      </c>
      <c r="H25" s="13" t="n">
        <f aca="false">H$5*(1+A_pore*H$6*($A25/100))/(1-H$6*(1+((1-phimax_pore)/phimax_pore^2)*($A25/100))*($A25/100))</f>
        <v>2.43403950500443</v>
      </c>
      <c r="I25" s="13" t="n">
        <f aca="false">H$7*(1+A_pore*H$8*($A25/100))/(1-H$8*(1+((1-phimax_pore)/phimax_pore^2)*($A25/100))*($A25/100))</f>
        <v>0.174514629577957</v>
      </c>
      <c r="J25" s="13" t="n">
        <f aca="false">J$5*(1+A_pore*J$6*($A25/100))/(1-J$6*(1+((1-phimax_pore)/phimax_pore^2)*($A25/100))*($A25/100))</f>
        <v>2.58037284118005</v>
      </c>
      <c r="K25" s="13" t="n">
        <f aca="false">J$7*(1+A_pore*J$8*($A25/100))/(1-J$8*(1+((1-phimax_pore)/phimax_pore^2)*($A25/100))*($A25/100))</f>
        <v>0.704013243978927</v>
      </c>
    </row>
    <row r="26" customFormat="false" ht="15" hidden="false" customHeight="false" outlineLevel="0" collapsed="false">
      <c r="A26" s="4" t="n">
        <v>27.5</v>
      </c>
      <c r="B26" s="13" t="n">
        <f aca="false">B$5*(1+A_pore*B$6*($A26/100))/(1-B$6*(1+((1-phimax_pore)/phimax_pore^2)*($A26/100))*($A26/100))</f>
        <v>2.17702693172647</v>
      </c>
      <c r="C26" s="13" t="n">
        <f aca="false">B$7*(1+A_pore*B$8*($A26/100))/(1-B$8*(1+((1-phimax_pore)/phimax_pore^2)*($A26/100))*($A26/100))</f>
        <v>0.0654043314453703</v>
      </c>
      <c r="D26" s="13" t="n">
        <f aca="false">D$5*(1+A_pore*D$6*($A26/100))/(1-D$6*(1+((1-phimax_pore)/phimax_pore^2)*($A26/100))*($A26/100))</f>
        <v>2.2148983985662</v>
      </c>
      <c r="E26" s="13" t="n">
        <f aca="false">D$7*(1+A_pore*D$8*($A26/100))/(1-D$8*(1+((1-phimax_pore)/phimax_pore^2)*($A26/100))*($A26/100))</f>
        <v>0.0777455313354111</v>
      </c>
      <c r="F26" s="13" t="n">
        <f aca="false">F$5*(1+A_pore*F$6*($A26/100))/(1-F$6*(1+((1-phimax_pore)/phimax_pore^2)*($A26/100))*($A26/100))</f>
        <v>2.30317591206685</v>
      </c>
      <c r="G26" s="13" t="n">
        <f aca="false">F$7*(1+A_pore*F$8*($A26/100))/(1-F$8*(1+((1-phimax_pore)/phimax_pore^2)*($A26/100))*($A26/100))</f>
        <v>0.108438096120793</v>
      </c>
      <c r="H26" s="13" t="n">
        <f aca="false">H$5*(1+A_pore*H$6*($A26/100))/(1-H$6*(1+((1-phimax_pore)/phimax_pore^2)*($A26/100))*($A26/100))</f>
        <v>2.41374706438879</v>
      </c>
      <c r="I26" s="13" t="n">
        <f aca="false">H$7*(1+A_pore*H$8*($A26/100))/(1-H$8*(1+((1-phimax_pore)/phimax_pore^2)*($A26/100))*($A26/100))</f>
        <v>0.171636208045273</v>
      </c>
      <c r="J26" s="13" t="n">
        <f aca="false">J$5*(1+A_pore*J$6*($A26/100))/(1-J$6*(1+((1-phimax_pore)/phimax_pore^2)*($A26/100))*($A26/100))</f>
        <v>2.55721636463191</v>
      </c>
      <c r="K26" s="13" t="n">
        <f aca="false">J$7*(1+A_pore*J$8*($A26/100))/(1-J$8*(1+((1-phimax_pore)/phimax_pore^2)*($A26/100))*($A26/100))</f>
        <v>0.690044113691255</v>
      </c>
    </row>
    <row r="27" customFormat="false" ht="15" hidden="false" customHeight="false" outlineLevel="0" collapsed="false">
      <c r="A27" s="4" t="n">
        <v>28</v>
      </c>
      <c r="B27" s="13" t="n">
        <f aca="false">B$5*(1+A_pore*B$6*($A27/100))/(1-B$6*(1+((1-phimax_pore)/phimax_pore^2)*($A27/100))*($A27/100))</f>
        <v>2.16145330023608</v>
      </c>
      <c r="C27" s="13" t="n">
        <f aca="false">B$7*(1+A_pore*B$8*($A27/100))/(1-B$8*(1+((1-phimax_pore)/phimax_pore^2)*($A27/100))*($A27/100))</f>
        <v>0.0648328983121677</v>
      </c>
      <c r="D27" s="13" t="n">
        <f aca="false">D$5*(1+A_pore*D$6*($A27/100))/(1-D$6*(1+((1-phimax_pore)/phimax_pore^2)*($A27/100))*($A27/100))</f>
        <v>2.19863558721817</v>
      </c>
      <c r="E27" s="13" t="n">
        <f aca="false">D$7*(1+A_pore*D$8*($A27/100))/(1-D$8*(1+((1-phimax_pore)/phimax_pore^2)*($A27/100))*($A27/100))</f>
        <v>0.0769238672887917</v>
      </c>
      <c r="F27" s="13" t="n">
        <f aca="false">F$5*(1+A_pore*F$6*($A27/100))/(1-F$6*(1+((1-phimax_pore)/phimax_pore^2)*($A27/100))*($A27/100))</f>
        <v>2.28527741044677</v>
      </c>
      <c r="G27" s="13" t="n">
        <f aca="false">F$7*(1+A_pore*F$8*($A27/100))/(1-F$8*(1+((1-phimax_pore)/phimax_pore^2)*($A27/100))*($A27/100))</f>
        <v>0.106966904433795</v>
      </c>
      <c r="H27" s="13" t="n">
        <f aca="false">H$5*(1+A_pore*H$6*($A27/100))/(1-H$6*(1+((1-phimax_pore)/phimax_pore^2)*($A27/100))*($A27/100))</f>
        <v>2.39374770028583</v>
      </c>
      <c r="I27" s="13" t="n">
        <f aca="false">H$7*(1+A_pore*H$8*($A27/100))/(1-H$8*(1+((1-phimax_pore)/phimax_pore^2)*($A27/100))*($A27/100))</f>
        <v>0.168829229252044</v>
      </c>
      <c r="J27" s="13" t="n">
        <f aca="false">J$5*(1+A_pore*J$6*($A27/100))/(1-J$6*(1+((1-phimax_pore)/phimax_pore^2)*($A27/100))*($A27/100))</f>
        <v>2.53441745033448</v>
      </c>
      <c r="K27" s="13" t="n">
        <f aca="false">J$7*(1+A_pore*J$8*($A27/100))/(1-J$8*(1+((1-phimax_pore)/phimax_pore^2)*($A27/100))*($A27/100))</f>
        <v>0.676455571156752</v>
      </c>
    </row>
    <row r="28" customFormat="false" ht="15" hidden="false" customHeight="false" outlineLevel="0" collapsed="false">
      <c r="A28" s="4" t="n">
        <v>28.5</v>
      </c>
      <c r="B28" s="13" t="n">
        <f aca="false">B$5*(1+A_pore*B$6*($A28/100))/(1-B$6*(1+((1-phimax_pore)/phimax_pore^2)*($A28/100))*($A28/100))</f>
        <v>2.14607460215426</v>
      </c>
      <c r="C28" s="13" t="n">
        <f aca="false">B$7*(1+A_pore*B$8*($A28/100))/(1-B$8*(1+((1-phimax_pore)/phimax_pore^2)*($A28/100))*($A28/100))</f>
        <v>0.0642700633103841</v>
      </c>
      <c r="D28" s="13" t="n">
        <f aca="false">D$5*(1+A_pore*D$6*($A28/100))/(1-D$6*(1+((1-phimax_pore)/phimax_pore^2)*($A28/100))*($A28/100))</f>
        <v>2.18258135352034</v>
      </c>
      <c r="E28" s="13" t="n">
        <f aca="false">D$7*(1+A_pore*D$8*($A28/100))/(1-D$8*(1+((1-phimax_pore)/phimax_pore^2)*($A28/100))*($A28/100))</f>
        <v>0.0761168152929182</v>
      </c>
      <c r="F28" s="13" t="n">
        <f aca="false">F$5*(1+A_pore*F$6*($A28/100))/(1-F$6*(1+((1-phimax_pore)/phimax_pore^2)*($A28/100))*($A28/100))</f>
        <v>2.26762088671855</v>
      </c>
      <c r="G28" s="13" t="n">
        <f aca="false">F$7*(1+A_pore*F$8*($A28/100))/(1-F$8*(1+((1-phimax_pore)/phimax_pore^2)*($A28/100))*($A28/100))</f>
        <v>0.105527616433987</v>
      </c>
      <c r="H28" s="13" t="n">
        <f aca="false">H$5*(1+A_pore*H$6*($A28/100))/(1-H$6*(1+((1-phimax_pore)/phimax_pore^2)*($A28/100))*($A28/100))</f>
        <v>2.37403511461595</v>
      </c>
      <c r="I28" s="13" t="n">
        <f aca="false">H$7*(1+A_pore*H$8*($A28/100))/(1-H$8*(1+((1-phimax_pore)/phimax_pore^2)*($A28/100))*($A28/100))</f>
        <v>0.166091068479572</v>
      </c>
      <c r="J28" s="13" t="n">
        <f aca="false">J$5*(1+A_pore*J$6*($A28/100))/(1-J$6*(1+((1-phimax_pore)/phimax_pore^2)*($A28/100))*($A28/100))</f>
        <v>2.51196788709887</v>
      </c>
      <c r="K28" s="13" t="n">
        <f aca="false">J$7*(1+A_pore*J$8*($A28/100))/(1-J$8*(1+((1-phimax_pore)/phimax_pore^2)*($A28/100))*($A28/100))</f>
        <v>0.663232288730887</v>
      </c>
    </row>
    <row r="29" customFormat="false" ht="15" hidden="false" customHeight="false" outlineLevel="0" collapsed="false">
      <c r="A29" s="4" t="n">
        <v>29</v>
      </c>
      <c r="B29" s="13" t="n">
        <f aca="false">B$5*(1+A_pore*B$6*($A29/100))/(1-B$6*(1+((1-phimax_pore)/phimax_pore^2)*($A29/100))*($A29/100))</f>
        <v>2.13088720381171</v>
      </c>
      <c r="C29" s="13" t="n">
        <f aca="false">B$7*(1+A_pore*B$8*($A29/100))/(1-B$8*(1+((1-phimax_pore)/phimax_pore^2)*($A29/100))*($A29/100))</f>
        <v>0.0637156340003119</v>
      </c>
      <c r="D29" s="13" t="n">
        <f aca="false">D$5*(1+A_pore*D$6*($A29/100))/(1-D$6*(1+((1-phimax_pore)/phimax_pore^2)*($A29/100))*($A29/100))</f>
        <v>2.16673171418468</v>
      </c>
      <c r="E29" s="13" t="n">
        <f aca="false">D$7*(1+A_pore*D$8*($A29/100))/(1-D$8*(1+((1-phimax_pore)/phimax_pore^2)*($A29/100))*($A29/100))</f>
        <v>0.0753239893320184</v>
      </c>
      <c r="F29" s="13" t="n">
        <f aca="false">F$5*(1+A_pore*F$6*($A29/100))/(1-F$6*(1+((1-phimax_pore)/phimax_pore^2)*($A29/100))*($A29/100))</f>
        <v>2.2502014712305</v>
      </c>
      <c r="G29" s="13" t="n">
        <f aca="false">F$7*(1+A_pore*F$8*($A29/100))/(1-F$8*(1+((1-phimax_pore)/phimax_pore^2)*($A29/100))*($A29/100))</f>
        <v>0.104119206382638</v>
      </c>
      <c r="H29" s="13" t="n">
        <f aca="false">H$5*(1+A_pore*H$6*($A29/100))/(1-H$6*(1+((1-phimax_pore)/phimax_pore^2)*($A29/100))*($A29/100))</f>
        <v>2.35460318847207</v>
      </c>
      <c r="I29" s="13" t="n">
        <f aca="false">H$7*(1+A_pore*H$8*($A29/100))/(1-H$8*(1+((1-phimax_pore)/phimax_pore^2)*($A29/100))*($A29/100))</f>
        <v>0.163419228025117</v>
      </c>
      <c r="J29" s="13" t="n">
        <f aca="false">J$5*(1+A_pore*J$6*($A29/100))/(1-J$6*(1+((1-phimax_pore)/phimax_pore^2)*($A29/100))*($A29/100))</f>
        <v>2.48985971324443</v>
      </c>
      <c r="K29" s="13" t="n">
        <f aca="false">J$7*(1+A_pore*J$8*($A29/100))/(1-J$8*(1+((1-phimax_pore)/phimax_pore^2)*($A29/100))*($A29/100))</f>
        <v>0.650359750929058</v>
      </c>
    </row>
    <row r="30" customFormat="false" ht="15" hidden="false" customHeight="false" outlineLevel="0" collapsed="false">
      <c r="A30" s="4" t="n">
        <v>29.5</v>
      </c>
      <c r="B30" s="13" t="n">
        <f aca="false">B$5*(1+A_pore*B$6*($A30/100))/(1-B$6*(1+((1-phimax_pore)/phimax_pore^2)*($A30/100))*($A30/100))</f>
        <v>2.11588756129225</v>
      </c>
      <c r="C30" s="13" t="n">
        <f aca="false">B$7*(1+A_pore*B$8*($A30/100))/(1-B$8*(1+((1-phimax_pore)/phimax_pore^2)*($A30/100))*($A30/100))</f>
        <v>0.0631694236424871</v>
      </c>
      <c r="D30" s="13" t="n">
        <f aca="false">D$5*(1+A_pore*D$6*($A30/100))/(1-D$6*(1+((1-phimax_pore)/phimax_pore^2)*($A30/100))*($A30/100))</f>
        <v>2.15108278670805</v>
      </c>
      <c r="E30" s="13" t="n">
        <f aca="false">D$7*(1+A_pore*D$8*($A30/100))/(1-D$8*(1+((1-phimax_pore)/phimax_pore^2)*($A30/100))*($A30/100))</f>
        <v>0.0745450168683973</v>
      </c>
      <c r="F30" s="13" t="n">
        <f aca="false">F$5*(1+A_pore*F$6*($A30/100))/(1-F$6*(1+((1-phimax_pore)/phimax_pore^2)*($A30/100))*($A30/100))</f>
        <v>2.23301442412423</v>
      </c>
      <c r="G30" s="13" t="n">
        <f aca="false">F$7*(1+A_pore*F$8*($A30/100))/(1-F$8*(1+((1-phimax_pore)/phimax_pore^2)*($A30/100))*($A30/100))</f>
        <v>0.102740692046097</v>
      </c>
      <c r="H30" s="13" t="n">
        <f aca="false">H$5*(1+A_pore*H$6*($A30/100))/(1-H$6*(1+((1-phimax_pore)/phimax_pore^2)*($A30/100))*($A30/100))</f>
        <v>2.33544597579313</v>
      </c>
      <c r="I30" s="13" t="n">
        <f aca="false">H$7*(1+A_pore*H$8*($A30/100))/(1-H$8*(1+((1-phimax_pore)/phimax_pore^2)*($A30/100))*($A30/100))</f>
        <v>0.160811329610508</v>
      </c>
      <c r="J30" s="13" t="n">
        <f aca="false">J$5*(1+A_pore*J$6*($A30/100))/(1-J$6*(1+((1-phimax_pore)/phimax_pore^2)*($A30/100))*($A30/100))</f>
        <v>2.46808520719316</v>
      </c>
      <c r="K30" s="13" t="n">
        <f aca="false">J$7*(1+A_pore*J$8*($A30/100))/(1-J$8*(1+((1-phimax_pore)/phimax_pore^2)*($A30/100))*($A30/100))</f>
        <v>0.637824201337836</v>
      </c>
    </row>
    <row r="31" customFormat="false" ht="15" hidden="false" customHeight="false" outlineLevel="0" collapsed="false">
      <c r="A31" s="4" t="n">
        <v>30</v>
      </c>
      <c r="B31" s="13" t="n">
        <f aca="false">B$5*(1+A_pore*B$6*($A31/100))/(1-B$6*(1+((1-phimax_pore)/phimax_pore^2)*($A31/100))*($A31/100))</f>
        <v>2.10107221767871</v>
      </c>
      <c r="C31" s="13" t="n">
        <f aca="false">B$7*(1+A_pore*B$8*($A31/100))/(1-B$8*(1+((1-phimax_pore)/phimax_pore^2)*($A31/100))*($A31/100))</f>
        <v>0.0626312509881821</v>
      </c>
      <c r="D31" s="13" t="n">
        <f aca="false">D$5*(1+A_pore*D$6*($A31/100))/(1-D$6*(1+((1-phimax_pore)/phimax_pore^2)*($A31/100))*($A31/100))</f>
        <v>2.13563078620459</v>
      </c>
      <c r="E31" s="13" t="n">
        <f aca="false">D$7*(1+A_pore*D$8*($A31/100))/(1-D$8*(1+((1-phimax_pore)/phimax_pore^2)*($A31/100))*($A31/100))</f>
        <v>0.0737795382592791</v>
      </c>
      <c r="F31" s="13" t="n">
        <f aca="false">F$5*(1+A_pore*F$6*($A31/100))/(1-F$6*(1+((1-phimax_pore)/phimax_pore^2)*($A31/100))*($A31/100))</f>
        <v>2.21605513103892</v>
      </c>
      <c r="G31" s="13" t="n">
        <f aca="false">F$7*(1+A_pore*F$8*($A31/100))/(1-F$8*(1+((1-phimax_pore)/phimax_pore^2)*($A31/100))*($A31/100))</f>
        <v>0.101391132413493</v>
      </c>
      <c r="H31" s="13" t="n">
        <f aca="false">H$5*(1+A_pore*H$6*($A31/100))/(1-H$6*(1+((1-phimax_pore)/phimax_pore^2)*($A31/100))*($A31/100))</f>
        <v>2.31655769730365</v>
      </c>
      <c r="I31" s="13" t="n">
        <f aca="false">H$7*(1+A_pore*H$8*($A31/100))/(1-H$8*(1+((1-phimax_pore)/phimax_pore^2)*($A31/100))*($A31/100))</f>
        <v>0.158265107328782</v>
      </c>
      <c r="J31" s="13" t="n">
        <f aca="false">J$5*(1+A_pore*J$6*($A31/100))/(1-J$6*(1+((1-phimax_pore)/phimax_pore^2)*($A31/100))*($A31/100))</f>
        <v>2.44663687848635</v>
      </c>
      <c r="K31" s="13" t="n">
        <f aca="false">J$7*(1+A_pore*J$8*($A31/100))/(1-J$8*(1+((1-phimax_pore)/phimax_pore^2)*($A31/100))*($A31/100))</f>
        <v>0.625612593636798</v>
      </c>
    </row>
    <row r="32" customFormat="false" ht="15" hidden="false" customHeight="false" outlineLevel="0" collapsed="false">
      <c r="A32" s="4" t="n">
        <v>30.5</v>
      </c>
      <c r="B32" s="13" t="n">
        <f aca="false">B$5*(1+A_pore*B$6*($A32/100))/(1-B$6*(1+((1-phimax_pore)/phimax_pore^2)*($A32/100))*($A32/100))</f>
        <v>2.08643780039953</v>
      </c>
      <c r="C32" s="13" t="n">
        <f aca="false">B$7*(1+A_pore*B$8*($A32/100))/(1-B$8*(1+((1-phimax_pore)/phimax_pore^2)*($A32/100))*($A32/100))</f>
        <v>0.0621009400790718</v>
      </c>
      <c r="D32" s="13" t="n">
        <f aca="false">D$5*(1+A_pore*D$6*($A32/100))/(1-D$6*(1+((1-phimax_pore)/phimax_pore^2)*($A32/100))*($A32/100))</f>
        <v>2.12037202235696</v>
      </c>
      <c r="E32" s="13" t="n">
        <f aca="false">D$7*(1+A_pore*D$8*($A32/100))/(1-D$8*(1+((1-phimax_pore)/phimax_pore^2)*($A32/100))*($A32/100))</f>
        <v>0.0730272062036667</v>
      </c>
      <c r="F32" s="13" t="n">
        <f aca="false">F$5*(1+A_pore*F$6*($A32/100))/(1-F$6*(1+((1-phimax_pore)/phimax_pore^2)*($A32/100))*($A32/100))</f>
        <v>2.19931909898519</v>
      </c>
      <c r="G32" s="13" t="n">
        <f aca="false">F$7*(1+A_pore*F$8*($A32/100))/(1-F$8*(1+((1-phimax_pore)/phimax_pore^2)*($A32/100))*($A32/100))</f>
        <v>0.100069625556626</v>
      </c>
      <c r="H32" s="13" t="n">
        <f aca="false">H$5*(1+A_pore*H$6*($A32/100))/(1-H$6*(1+((1-phimax_pore)/phimax_pore^2)*($A32/100))*($A32/100))</f>
        <v>2.29793273470666</v>
      </c>
      <c r="I32" s="13" t="n">
        <f aca="false">H$7*(1+A_pore*H$8*($A32/100))/(1-H$8*(1+((1-phimax_pore)/phimax_pore^2)*($A32/100))*($A32/100))</f>
        <v>0.155778401084886</v>
      </c>
      <c r="J32" s="13" t="n">
        <f aca="false">J$5*(1+A_pore*J$6*($A32/100))/(1-J$6*(1+((1-phimax_pore)/phimax_pore^2)*($A32/100))*($A32/100))</f>
        <v>2.42550745920161</v>
      </c>
      <c r="K32" s="13" t="n">
        <f aca="false">J$7*(1+A_pore*J$8*($A32/100))/(1-J$8*(1+((1-phimax_pore)/phimax_pore^2)*($A32/100))*($A32/100))</f>
        <v>0.613712546364361</v>
      </c>
    </row>
    <row r="33" customFormat="false" ht="15" hidden="false" customHeight="false" outlineLevel="0" collapsed="false">
      <c r="A33" s="4" t="n">
        <v>31</v>
      </c>
      <c r="B33" s="13" t="n">
        <f aca="false">B$5*(1+A_pore*B$6*($A33/100))/(1-B$6*(1+((1-phimax_pore)/phimax_pore^2)*($A33/100))*($A33/100))</f>
        <v>2.07198101867188</v>
      </c>
      <c r="C33" s="13" t="n">
        <f aca="false">B$7*(1+A_pore*B$8*($A33/100))/(1-B$8*(1+((1-phimax_pore)/phimax_pore^2)*($A33/100))*($A33/100))</f>
        <v>0.0615783200556079</v>
      </c>
      <c r="D33" s="13" t="n">
        <f aca="false">D$5*(1+A_pore*D$6*($A33/100))/(1-D$6*(1+((1-phimax_pore)/phimax_pore^2)*($A33/100))*($A33/100))</f>
        <v>2.10530289648105</v>
      </c>
      <c r="E33" s="13" t="n">
        <f aca="false">D$7*(1+A_pore*D$8*($A33/100))/(1-D$8*(1+((1-phimax_pore)/phimax_pore^2)*($A33/100))*($A33/100))</f>
        <v>0.0722876852174332</v>
      </c>
      <c r="F33" s="13" t="n">
        <f aca="false">F$5*(1+A_pore*F$6*($A33/100))/(1-F$6*(1+((1-phimax_pore)/phimax_pore^2)*($A33/100))*($A33/100))</f>
        <v>2.18280195238059</v>
      </c>
      <c r="G33" s="13" t="n">
        <f aca="false">F$7*(1+A_pore*F$8*($A33/100))/(1-F$8*(1+((1-phimax_pore)/phimax_pore^2)*($A33/100))*($A33/100))</f>
        <v>0.0987753066218072</v>
      </c>
      <c r="H33" s="13" t="n">
        <f aca="false">H$5*(1+A_pore*H$6*($A33/100))/(1-H$6*(1+((1-phimax_pore)/phimax_pore^2)*($A33/100))*($A33/100))</f>
        <v>2.27956562511746</v>
      </c>
      <c r="I33" s="13" t="n">
        <f aca="false">H$7*(1+A_pore*H$8*($A33/100))/(1-H$8*(1+((1-phimax_pore)/phimax_pore^2)*($A33/100))*($A33/100))</f>
        <v>0.153349150490525</v>
      </c>
      <c r="J33" s="13" t="n">
        <f aca="false">J$5*(1+A_pore*J$6*($A33/100))/(1-J$6*(1+((1-phimax_pore)/phimax_pore^2)*($A33/100))*($A33/100))</f>
        <v>2.40468989574956</v>
      </c>
      <c r="K33" s="13" t="n">
        <f aca="false">J$7*(1+A_pore*J$8*($A33/100))/(1-J$8*(1+((1-phimax_pore)/phimax_pore^2)*($A33/100))*($A33/100))</f>
        <v>0.602112301097898</v>
      </c>
    </row>
    <row r="34" customFormat="false" ht="15" hidden="false" customHeight="false" outlineLevel="0" collapsed="false">
      <c r="A34" s="4" t="n">
        <v>31.5</v>
      </c>
      <c r="B34" s="13" t="n">
        <f aca="false">B$5*(1+A_pore*B$6*($A34/100))/(1-B$6*(1+((1-phimax_pore)/phimax_pore^2)*($A34/100))*($A34/100))</f>
        <v>2.05769866103733</v>
      </c>
      <c r="C34" s="13" t="n">
        <f aca="false">B$7*(1+A_pore*B$8*($A34/100))/(1-B$8*(1+((1-phimax_pore)/phimax_pore^2)*($A34/100))*($A34/100))</f>
        <v>0.0610632249736615</v>
      </c>
      <c r="D34" s="13" t="n">
        <f aca="false">D$5*(1+A_pore*D$6*($A34/100))/(1-D$6*(1+((1-phimax_pore)/phimax_pore^2)*($A34/100))*($A34/100))</f>
        <v>2.09041989869943</v>
      </c>
      <c r="E34" s="13" t="n">
        <f aca="false">D$7*(1+A_pore*D$8*($A34/100))/(1-D$8*(1+((1-phimax_pore)/phimax_pore^2)*($A34/100))*($A34/100))</f>
        <v>0.0715606511349762</v>
      </c>
      <c r="F34" s="13" t="n">
        <f aca="false">F$5*(1+A_pore*F$6*($A34/100))/(1-F$6*(1+((1-phimax_pore)/phimax_pore^2)*($A34/100))*($A34/100))</f>
        <v>2.16649942923951</v>
      </c>
      <c r="G34" s="13" t="n">
        <f aca="false">F$7*(1+A_pore*F$8*($A34/100))/(1-F$8*(1+((1-phimax_pore)/phimax_pore^2)*($A34/100))*($A34/100))</f>
        <v>0.0975073459442611</v>
      </c>
      <c r="H34" s="13" t="n">
        <f aca="false">H$5*(1+A_pore*H$6*($A34/100))/(1-H$6*(1+((1-phimax_pore)/phimax_pore^2)*($A34/100))*($A34/100))</f>
        <v>2.26145105572681</v>
      </c>
      <c r="I34" s="13" t="n">
        <f aca="false">H$7*(1+A_pore*H$8*($A34/100))/(1-H$8*(1+((1-phimax_pore)/phimax_pore^2)*($A34/100))*($A34/100))</f>
        <v>0.150975389176897</v>
      </c>
      <c r="J34" s="13" t="n">
        <f aca="false">J$5*(1+A_pore*J$6*($A34/100))/(1-J$6*(1+((1-phimax_pore)/phimax_pore^2)*($A34/100))*($A34/100))</f>
        <v>2.3841773410307</v>
      </c>
      <c r="K34" s="13" t="n">
        <f aca="false">J$7*(1+A_pore*J$8*($A34/100))/(1-J$8*(1+((1-phimax_pore)/phimax_pore^2)*($A34/100))*($A34/100))</f>
        <v>0.590800683751233</v>
      </c>
    </row>
    <row r="35" customFormat="false" ht="15" hidden="false" customHeight="false" outlineLevel="0" collapsed="false">
      <c r="A35" s="4" t="n">
        <v>32</v>
      </c>
      <c r="B35" s="13" t="n">
        <f aca="false">B$5*(1+A_pore*B$6*($A35/100))/(1-B$6*(1+((1-phimax_pore)/phimax_pore^2)*($A35/100))*($A35/100))</f>
        <v>2.04358759298598</v>
      </c>
      <c r="C35" s="13" t="n">
        <f aca="false">B$7*(1+A_pore*B$8*($A35/100))/(1-B$8*(1+((1-phimax_pore)/phimax_pore^2)*($A35/100))*($A35/100))</f>
        <v>0.0605554936290221</v>
      </c>
      <c r="D35" s="13" t="n">
        <f aca="false">D$5*(1+A_pore*D$6*($A35/100))/(1-D$6*(1+((1-phimax_pore)/phimax_pore^2)*($A35/100))*($A35/100))</f>
        <v>2.07571960521867</v>
      </c>
      <c r="E35" s="13" t="n">
        <f aca="false">D$7*(1+A_pore*D$8*($A35/100))/(1-D$8*(1+((1-phimax_pore)/phimax_pore^2)*($A35/100))*($A35/100))</f>
        <v>0.0708457906358816</v>
      </c>
      <c r="F35" s="13" t="n">
        <f aca="false">F$5*(1+A_pore*F$6*($A35/100))/(1-F$6*(1+((1-phimax_pore)/phimax_pore^2)*($A35/100))*($A35/100))</f>
        <v>2.15040737751054</v>
      </c>
      <c r="G35" s="13" t="n">
        <f aca="false">F$7*(1+A_pore*F$8*($A35/100))/(1-F$8*(1+((1-phimax_pore)/phimax_pore^2)*($A35/100))*($A35/100))</f>
        <v>0.0962649472764549</v>
      </c>
      <c r="H35" s="13" t="n">
        <f aca="false">H$5*(1+A_pore*H$6*($A35/100))/(1-H$6*(1+((1-phimax_pore)/phimax_pore^2)*($A35/100))*($A35/100))</f>
        <v>2.24358385868251</v>
      </c>
      <c r="I35" s="13" t="n">
        <f aca="false">H$7*(1+A_pore*H$8*($A35/100))/(1-H$8*(1+((1-phimax_pore)/phimax_pore^2)*($A35/100))*($A35/100))</f>
        <v>0.148655239492323</v>
      </c>
      <c r="J35" s="13" t="n">
        <f aca="false">J$5*(1+A_pore*J$6*($A35/100))/(1-J$6*(1+((1-phimax_pore)/phimax_pore^2)*($A35/100))*($A35/100))</f>
        <v>2.36396314693423</v>
      </c>
      <c r="K35" s="13" t="n">
        <f aca="false">J$7*(1+A_pore*J$8*($A35/100))/(1-J$8*(1+((1-phimax_pore)/phimax_pore^2)*($A35/100))*($A35/100))</f>
        <v>0.579767068721723</v>
      </c>
    </row>
    <row r="36" customFormat="false" ht="15" hidden="false" customHeight="false" outlineLevel="0" collapsed="false">
      <c r="A36" s="4" t="n">
        <v>32.5</v>
      </c>
      <c r="B36" s="13" t="n">
        <f aca="false">B$5*(1+A_pore*B$6*($A36/100))/(1-B$6*(1+((1-phimax_pore)/phimax_pore^2)*($A36/100))*($A36/100))</f>
        <v>2.0296447546655</v>
      </c>
      <c r="C36" s="13" t="n">
        <f aca="false">B$7*(1+A_pore*B$8*($A36/100))/(1-B$8*(1+((1-phimax_pore)/phimax_pore^2)*($A36/100))*($A36/100))</f>
        <v>0.0600549693893631</v>
      </c>
      <c r="D36" s="13" t="n">
        <f aca="false">D$5*(1+A_pore*D$6*($A36/100))/(1-D$6*(1+((1-phimax_pore)/phimax_pore^2)*($A36/100))*($A36/100))</f>
        <v>2.06119867570632</v>
      </c>
      <c r="E36" s="13" t="n">
        <f aca="false">D$7*(1+A_pore*D$8*($A36/100))/(1-D$8*(1+((1-phimax_pore)/phimax_pore^2)*($A36/100))*($A36/100))</f>
        <v>0.0701428007951434</v>
      </c>
      <c r="F36" s="13" t="n">
        <f aca="false">F$5*(1+A_pore*F$6*($A36/100))/(1-F$6*(1+((1-phimax_pore)/phimax_pore^2)*($A36/100))*($A36/100))</f>
        <v>2.13452175155461</v>
      </c>
      <c r="G36" s="13" t="n">
        <f aca="false">F$7*(1+A_pore*F$8*($A36/100))/(1-F$8*(1+((1-phimax_pore)/phimax_pore^2)*($A36/100))*($A36/100))</f>
        <v>0.0950473461223947</v>
      </c>
      <c r="H36" s="13" t="n">
        <f aca="false">H$5*(1+A_pore*H$6*($A36/100))/(1-H$6*(1+((1-phimax_pore)/phimax_pore^2)*($A36/100))*($A36/100))</f>
        <v>2.22595900617906</v>
      </c>
      <c r="I36" s="13" t="n">
        <f aca="false">H$7*(1+A_pore*H$8*($A36/100))/(1-H$8*(1+((1-phimax_pore)/phimax_pore^2)*($A36/100))*($A36/100))</f>
        <v>0.146386907554707</v>
      </c>
      <c r="J36" s="13" t="n">
        <f aca="false">J$5*(1+A_pore*J$6*($A36/100))/(1-J$6*(1+((1-phimax_pore)/phimax_pore^2)*($A36/100))*($A36/100))</f>
        <v>2.34404085716149</v>
      </c>
      <c r="K36" s="13" t="n">
        <f aca="false">J$7*(1+A_pore*J$8*($A36/100))/(1-J$8*(1+((1-phimax_pore)/phimax_pore^2)*($A36/100))*($A36/100))</f>
        <v>0.569001345645102</v>
      </c>
    </row>
    <row r="37" customFormat="false" ht="15" hidden="false" customHeight="false" outlineLevel="0" collapsed="false">
      <c r="A37" s="4" t="n">
        <v>33</v>
      </c>
      <c r="B37" s="13" t="n">
        <f aca="false">B$5*(1+A_pore*B$6*($A37/100))/(1-B$6*(1+((1-phimax_pore)/phimax_pore^2)*($A37/100))*($A37/100))</f>
        <v>2.01586715867159</v>
      </c>
      <c r="C37" s="13" t="n">
        <f aca="false">B$7*(1+A_pore*B$8*($A37/100))/(1-B$8*(1+((1-phimax_pore)/phimax_pore^2)*($A37/100))*($A37/100))</f>
        <v>0.0595615000333045</v>
      </c>
      <c r="D37" s="13" t="n">
        <f aca="false">D$5*(1+A_pore*D$6*($A37/100))/(1-D$6*(1+((1-phimax_pore)/phimax_pore^2)*($A37/100))*($A37/100))</f>
        <v>2.04685385076319</v>
      </c>
      <c r="E37" s="13" t="n">
        <f aca="false">D$7*(1+A_pore*D$8*($A37/100))/(1-D$8*(1+((1-phimax_pore)/phimax_pore^2)*($A37/100))*($A37/100))</f>
        <v>0.0694513886555845</v>
      </c>
      <c r="F37" s="13" t="n">
        <f aca="false">F$5*(1+A_pore*F$6*($A37/100))/(1-F$6*(1+((1-phimax_pore)/phimax_pore^2)*($A37/100))*($A37/100))</f>
        <v>2.11883860875765</v>
      </c>
      <c r="G37" s="13" t="n">
        <f aca="false">F$7*(1+A_pore*F$8*($A37/100))/(1-F$8*(1+((1-phimax_pore)/phimax_pore^2)*($A37/100))*($A37/100))</f>
        <v>0.0938538081705738</v>
      </c>
      <c r="H37" s="13" t="n">
        <f aca="false">H$5*(1+A_pore*H$6*($A37/100))/(1-H$6*(1+((1-phimax_pore)/phimax_pore^2)*($A37/100))*($A37/100))</f>
        <v>2.20857160574559</v>
      </c>
      <c r="I37" s="13" t="n">
        <f aca="false">H$7*(1+A_pore*H$8*($A37/100))/(1-H$8*(1+((1-phimax_pore)/phimax_pore^2)*($A37/100))*($A37/100))</f>
        <v>0.144168678631448</v>
      </c>
      <c r="J37" s="13" t="n">
        <f aca="false">J$5*(1+A_pore*J$6*($A37/100))/(1-J$6*(1+((1-phimax_pore)/phimax_pore^2)*($A37/100))*($A37/100))</f>
        <v>2.3244042003578</v>
      </c>
      <c r="K37" s="13" t="n">
        <f aca="false">J$7*(1+A_pore*J$8*($A37/100))/(1-J$8*(1+((1-phimax_pore)/phimax_pore^2)*($A37/100))*($A37/100))</f>
        <v>0.558493888539485</v>
      </c>
    </row>
    <row r="38" customFormat="false" ht="15" hidden="false" customHeight="false" outlineLevel="0" collapsed="false">
      <c r="A38" s="4" t="n">
        <v>33.5</v>
      </c>
      <c r="B38" s="13" t="n">
        <f aca="false">B$5*(1+A_pore*B$6*($A38/100))/(1-B$6*(1+((1-phimax_pore)/phimax_pore^2)*($A38/100))*($A38/100))</f>
        <v>2.00225188791639</v>
      </c>
      <c r="C38" s="13" t="n">
        <f aca="false">B$7*(1+A_pore*B$8*($A38/100))/(1-B$8*(1+((1-phimax_pore)/phimax_pore^2)*($A38/100))*($A38/100))</f>
        <v>0.0590749375962267</v>
      </c>
      <c r="D38" s="13" t="n">
        <f aca="false">D$5*(1+A_pore*D$6*($A38/100))/(1-D$6*(1+((1-phimax_pore)/phimax_pore^2)*($A38/100))*($A38/100))</f>
        <v>2.03268194948687</v>
      </c>
      <c r="E38" s="13" t="n">
        <f aca="false">D$7*(1+A_pore*D$8*($A38/100))/(1-D$8*(1+((1-phimax_pore)/phimax_pore^2)*($A38/100))*($A38/100))</f>
        <v>0.0687712708212093</v>
      </c>
      <c r="F38" s="13" t="n">
        <f aca="false">F$5*(1+A_pore*F$6*($A38/100))/(1-F$6*(1+((1-phimax_pore)/phimax_pore^2)*($A38/100))*($A38/100))</f>
        <v>2.10335410627182</v>
      </c>
      <c r="G38" s="13" t="n">
        <f aca="false">F$7*(1+A_pore*F$8*($A38/100))/(1-F$8*(1+((1-phimax_pore)/phimax_pore^2)*($A38/100))*($A38/100))</f>
        <v>0.0926836278188216</v>
      </c>
      <c r="H38" s="13" t="n">
        <f aca="false">H$5*(1+A_pore*H$6*($A38/100))/(1-H$6*(1+((1-phimax_pore)/phimax_pore^2)*($A38/100))*($A38/100))</f>
        <v>2.19141689572273</v>
      </c>
      <c r="I38" s="13" t="n">
        <f aca="false">H$7*(1+A_pore*H$8*($A38/100))/(1-H$8*(1+((1-phimax_pore)/phimax_pore^2)*($A38/100))*($A38/100))</f>
        <v>0.141998912821783</v>
      </c>
      <c r="J38" s="13" t="n">
        <f aca="false">J$5*(1+A_pore*J$6*($A38/100))/(1-J$6*(1+((1-phimax_pore)/phimax_pore^2)*($A38/100))*($A38/100))</f>
        <v>2.3050470835372</v>
      </c>
      <c r="K38" s="13" t="n">
        <f aca="false">J$7*(1+A_pore*J$8*($A38/100))/(1-J$8*(1+((1-phimax_pore)/phimax_pore^2)*($A38/100))*($A38/100))</f>
        <v>0.548235527140551</v>
      </c>
    </row>
    <row r="39" customFormat="false" ht="15" hidden="false" customHeight="false" outlineLevel="0" collapsed="false">
      <c r="A39" s="4" t="n">
        <v>34</v>
      </c>
      <c r="B39" s="13" t="n">
        <f aca="false">B$5*(1+A_pore*B$6*($A39/100))/(1-B$6*(1+((1-phimax_pore)/phimax_pore^2)*($A39/100))*($A39/100))</f>
        <v>1.98879609357174</v>
      </c>
      <c r="C39" s="13" t="n">
        <f aca="false">B$7*(1+A_pore*B$8*($A39/100))/(1-B$8*(1+((1-phimax_pore)/phimax_pore^2)*($A39/100))*($A39/100))</f>
        <v>0.0585951382225076</v>
      </c>
      <c r="D39" s="13" t="n">
        <f aca="false">D$5*(1+A_pore*D$6*($A39/100))/(1-D$6*(1+((1-phimax_pore)/phimax_pore^2)*($A39/100))*($A39/100))</f>
        <v>2.01867986712289</v>
      </c>
      <c r="E39" s="13" t="n">
        <f aca="false">D$7*(1+A_pore*D$8*($A39/100))/(1-D$8*(1+((1-phimax_pore)/phimax_pore^2)*($A39/100))*($A39/100))</f>
        <v>0.0681021730703023</v>
      </c>
      <c r="F39" s="13" t="n">
        <f aca="false">F$5*(1+A_pore*F$6*($A39/100))/(1-F$6*(1+((1-phimax_pore)/phimax_pore^2)*($A39/100))*($A39/100))</f>
        <v>2.08806449787972</v>
      </c>
      <c r="G39" s="13" t="n">
        <f aca="false">F$7*(1+A_pore*F$8*($A39/100))/(1-F$8*(1+((1-phimax_pore)/phimax_pore^2)*($A39/100))*($A39/100))</f>
        <v>0.0915361267848254</v>
      </c>
      <c r="H39" s="13" t="n">
        <f aca="false">H$5*(1+A_pore*H$6*($A39/100))/(1-H$6*(1+((1-phimax_pore)/phimax_pore^2)*($A39/100))*($A39/100))</f>
        <v>2.17449024091973</v>
      </c>
      <c r="I39" s="13" t="n">
        <f aca="false">H$7*(1+A_pore*H$8*($A39/100))/(1-H$8*(1+((1-phimax_pore)/phimax_pore^2)*($A39/100))*($A39/100))</f>
        <v>0.139876041018716</v>
      </c>
      <c r="J39" s="13" t="n">
        <f aca="false">J$5*(1+A_pore*J$6*($A39/100))/(1-J$6*(1+((1-phimax_pore)/phimax_pore^2)*($A39/100))*($A39/100))</f>
        <v>2.28596358578588</v>
      </c>
      <c r="K39" s="13" t="n">
        <f aca="false">J$7*(1+A_pore*J$8*($A39/100))/(1-J$8*(1+((1-phimax_pore)/phimax_pore^2)*($A39/100))*($A39/100))</f>
        <v>0.538217520248518</v>
      </c>
    </row>
    <row r="40" customFormat="false" ht="15" hidden="false" customHeight="false" outlineLevel="0" collapsed="false">
      <c r="A40" s="4" t="n">
        <v>34.5</v>
      </c>
      <c r="B40" s="13" t="n">
        <f aca="false">B$5*(1+A_pore*B$6*($A40/100))/(1-B$6*(1+((1-phimax_pore)/phimax_pore^2)*($A40/100))*($A40/100))</f>
        <v>1.97549699308417</v>
      </c>
      <c r="C40" s="13" t="n">
        <f aca="false">B$7*(1+A_pore*B$8*($A40/100))/(1-B$8*(1+((1-phimax_pore)/phimax_pore^2)*($A40/100))*($A40/100))</f>
        <v>0.0581219620238708</v>
      </c>
      <c r="D40" s="13" t="n">
        <f aca="false">D$5*(1+A_pore*D$6*($A40/100))/(1-D$6*(1+((1-phimax_pore)/phimax_pore^2)*($A40/100))*($A40/100))</f>
        <v>2.00484457279958</v>
      </c>
      <c r="E40" s="13" t="n">
        <f aca="false">D$7*(1+A_pore*D$8*($A40/100))/(1-D$8*(1+((1-phimax_pore)/phimax_pore^2)*($A40/100))*($A40/100))</f>
        <v>0.0674438299871641</v>
      </c>
      <c r="F40" s="13" t="n">
        <f aca="false">F$5*(1+A_pore*F$6*($A40/100))/(1-F$6*(1+((1-phimax_pore)/phimax_pore^2)*($A40/100))*($A40/100))</f>
        <v>2.07296613097601</v>
      </c>
      <c r="G40" s="13" t="n">
        <f aca="false">F$7*(1+A_pore*F$8*($A40/100))/(1-F$8*(1+((1-phimax_pore)/phimax_pore^2)*($A40/100))*($A40/100))</f>
        <v>0.0904106527965764</v>
      </c>
      <c r="H40" s="13" t="n">
        <f aca="false">H$5*(1+A_pore*H$6*($A40/100))/(1-H$6*(1+((1-phimax_pore)/phimax_pore^2)*($A40/100))*($A40/100))</f>
        <v>2.15778712844339</v>
      </c>
      <c r="I40" s="13" t="n">
        <f aca="false">H$7*(1+A_pore*H$8*($A40/100))/(1-H$8*(1+((1-phimax_pore)/phimax_pore^2)*($A40/100))*($A40/100))</f>
        <v>0.137798561129637</v>
      </c>
      <c r="J40" s="13" t="n">
        <f aca="false">J$5*(1+A_pore*J$6*($A40/100))/(1-J$6*(1+((1-phimax_pore)/phimax_pore^2)*($A40/100))*($A40/100))</f>
        <v>2.26714795223037</v>
      </c>
      <c r="K40" s="13" t="n">
        <f aca="false">J$7*(1+A_pore*J$8*($A40/100))/(1-J$8*(1+((1-phimax_pore)/phimax_pore^2)*($A40/100))*($A40/100))</f>
        <v>0.528431530924077</v>
      </c>
    </row>
    <row r="41" customFormat="false" ht="15" hidden="false" customHeight="false" outlineLevel="0" collapsed="false">
      <c r="A41" s="4" t="n">
        <v>35</v>
      </c>
      <c r="B41" s="13" t="n">
        <f aca="false">B$5*(1+A_pore*B$6*($A41/100))/(1-B$6*(1+((1-phimax_pore)/phimax_pore^2)*($A41/100))*($A41/100))</f>
        <v>1.96235186825884</v>
      </c>
      <c r="C41" s="13" t="n">
        <f aca="false">B$7*(1+A_pore*B$8*($A41/100))/(1-B$8*(1+((1-phimax_pore)/phimax_pore^2)*($A41/100))*($A41/100))</f>
        <v>0.0576552729435556</v>
      </c>
      <c r="D41" s="13" t="n">
        <f aca="false">D$5*(1+A_pore*D$6*($A41/100))/(1-D$6*(1+((1-phimax_pore)/phimax_pore^2)*($A41/100))*($A41/100))</f>
        <v>1.99117310734337</v>
      </c>
      <c r="E41" s="13" t="n">
        <f aca="false">D$7*(1+A_pore*D$8*($A41/100))/(1-D$8*(1+((1-phimax_pore)/phimax_pore^2)*($A41/100))*($A41/100))</f>
        <v>0.0667959846114449</v>
      </c>
      <c r="F41" s="13" t="n">
        <f aca="false">F$5*(1+A_pore*F$6*($A41/100))/(1-F$6*(1+((1-phimax_pore)/phimax_pore^2)*($A41/100))*($A41/100))</f>
        <v>2.0580554436616</v>
      </c>
      <c r="G41" s="13" t="n">
        <f aca="false">F$7*(1+A_pore*F$8*($A41/100))/(1-F$8*(1+((1-phimax_pore)/phimax_pore^2)*($A41/100))*($A41/100))</f>
        <v>0.0893065783574274</v>
      </c>
      <c r="H41" s="13" t="n">
        <f aca="false">H$5*(1+A_pore*H$6*($A41/100))/(1-H$6*(1+((1-phimax_pore)/phimax_pore^2)*($A41/100))*($A41/100))</f>
        <v>2.14130316369108</v>
      </c>
      <c r="I41" s="13" t="n">
        <f aca="false">H$7*(1+A_pore*H$8*($A41/100))/(1-H$8*(1+((1-phimax_pore)/phimax_pore^2)*($A41/100))*($A41/100))</f>
        <v>0.135765034536505</v>
      </c>
      <c r="J41" s="13" t="n">
        <f aca="false">J$5*(1+A_pore*J$6*($A41/100))/(1-J$6*(1+((1-phimax_pore)/phimax_pore^2)*($A41/100))*($A41/100))</f>
        <v>2.24859458825774</v>
      </c>
      <c r="K41" s="13" t="n">
        <f aca="false">J$7*(1+A_pore*J$8*($A41/100))/(1-J$8*(1+((1-phimax_pore)/phimax_pore^2)*($A41/100))*($A41/100))</f>
        <v>0.51886960338536</v>
      </c>
    </row>
    <row r="42" customFormat="false" ht="15" hidden="false" customHeight="false" outlineLevel="0" collapsed="false">
      <c r="A42" s="4" t="n">
        <v>35.5</v>
      </c>
      <c r="B42" s="13" t="n">
        <f aca="false">B$5*(1+A_pore*B$6*($A42/100))/(1-B$6*(1+((1-phimax_pore)/phimax_pore^2)*($A42/100))*($A42/100))</f>
        <v>1.94935806340947</v>
      </c>
      <c r="C42" s="13" t="n">
        <f aca="false">B$7*(1+A_pore*B$8*($A42/100))/(1-B$8*(1+((1-phimax_pore)/phimax_pore^2)*($A42/100))*($A42/100))</f>
        <v>0.0571949386260275</v>
      </c>
      <c r="D42" s="13" t="n">
        <f aca="false">D$5*(1+A_pore*D$6*($A42/100))/(1-D$6*(1+((1-phimax_pore)/phimax_pore^2)*($A42/100))*($A42/100))</f>
        <v>1.97766258117115</v>
      </c>
      <c r="E42" s="13" t="n">
        <f aca="false">D$7*(1+A_pore*D$8*($A42/100))/(1-D$8*(1+((1-phimax_pore)/phimax_pore^2)*($A42/100))*($A42/100))</f>
        <v>0.0661583881041021</v>
      </c>
      <c r="F42" s="13" t="n">
        <f aca="false">F$5*(1+A_pore*F$6*($A42/100))/(1-F$6*(1+((1-phimax_pore)/phimax_pore^2)*($A42/100))*($A42/100))</f>
        <v>2.04332896194534</v>
      </c>
      <c r="G42" s="13" t="n">
        <f aca="false">F$7*(1+A_pore*F$8*($A42/100))/(1-F$8*(1+((1-phimax_pore)/phimax_pore^2)*($A42/100))*($A42/100))</f>
        <v>0.0882232995808495</v>
      </c>
      <c r="H42" s="13" t="n">
        <f aca="false">H$5*(1+A_pore*H$6*($A42/100))/(1-H$6*(1+((1-phimax_pore)/phimax_pore^2)*($A42/100))*($A42/100))</f>
        <v>2.12503406650021</v>
      </c>
      <c r="I42" s="13" t="n">
        <f aca="false">H$7*(1+A_pore*H$8*($A42/100))/(1-H$8*(1+((1-phimax_pore)/phimax_pore^2)*($A42/100))*($A42/100))</f>
        <v>0.133774082778056</v>
      </c>
      <c r="J42" s="13" t="n">
        <f aca="false">J$5*(1+A_pore*J$6*($A42/100))/(1-J$6*(1+((1-phimax_pore)/phimax_pore^2)*($A42/100))*($A42/100))</f>
        <v>2.2302980539755</v>
      </c>
      <c r="K42" s="13" t="n">
        <f aca="false">J$7*(1+A_pore*J$8*($A42/100))/(1-J$8*(1+((1-phimax_pore)/phimax_pore^2)*($A42/100))*($A42/100))</f>
        <v>0.50952414147137</v>
      </c>
    </row>
    <row r="43" customFormat="false" ht="15" hidden="false" customHeight="false" outlineLevel="0" collapsed="false">
      <c r="A43" s="4" t="n">
        <v>36</v>
      </c>
      <c r="B43" s="13" t="n">
        <f aca="false">B$5*(1+A_pore*B$6*($A43/100))/(1-B$6*(1+((1-phimax_pore)/phimax_pore^2)*($A43/100))*($A43/100))</f>
        <v>1.93651298357181</v>
      </c>
      <c r="C43" s="13" t="n">
        <f aca="false">B$7*(1+A_pore*B$8*($A43/100))/(1-B$8*(1+((1-phimax_pore)/phimax_pore^2)*($A43/100))*($A43/100))</f>
        <v>0.0567408302919708</v>
      </c>
      <c r="D43" s="13" t="n">
        <f aca="false">D$5*(1+A_pore*D$6*($A43/100))/(1-D$6*(1+((1-phimax_pore)/phimax_pore^2)*($A43/100))*($A43/100))</f>
        <v>1.96431017225655</v>
      </c>
      <c r="E43" s="13" t="n">
        <f aca="false">D$7*(1+A_pore*D$8*($A43/100))/(1-D$8*(1+((1-phimax_pore)/phimax_pore^2)*($A43/100))*($A43/100))</f>
        <v>0.0655307994290699</v>
      </c>
      <c r="F43" s="13" t="n">
        <f aca="false">F$5*(1+A_pore*F$6*($A43/100))/(1-F$6*(1+((1-phimax_pore)/phimax_pore^2)*($A43/100))*($A43/100))</f>
        <v>2.02878329704867</v>
      </c>
      <c r="G43" s="13" t="n">
        <f aca="false">F$7*(1+A_pore*F$8*($A43/100))/(1-F$8*(1+((1-phimax_pore)/phimax_pore^2)*($A43/100))*($A43/100))</f>
        <v>0.0871602350903399</v>
      </c>
      <c r="H43" s="13" t="n">
        <f aca="false">H$5*(1+A_pore*H$6*($A43/100))/(1-H$6*(1+((1-phimax_pore)/phimax_pore^2)*($A43/100))*($A43/100))</f>
        <v>2.10897566744713</v>
      </c>
      <c r="I43" s="13" t="n">
        <f aca="false">H$7*(1+A_pore*H$8*($A43/100))/(1-H$8*(1+((1-phimax_pore)/phimax_pore^2)*($A43/100))*($A43/100))</f>
        <v>0.131824384437968</v>
      </c>
      <c r="J43" s="13" t="n">
        <f aca="false">J$5*(1+A_pore*J$6*($A43/100))/(1-J$6*(1+((1-phimax_pore)/phimax_pore^2)*($A43/100))*($A43/100))</f>
        <v>2.21225305889982</v>
      </c>
      <c r="K43" s="13" t="n">
        <f aca="false">J$7*(1+A_pore*J$8*($A43/100))/(1-J$8*(1+((1-phimax_pore)/phimax_pore^2)*($A43/100))*($A43/100))</f>
        <v>0.500387888549363</v>
      </c>
    </row>
    <row r="44" customFormat="false" ht="15" hidden="false" customHeight="false" outlineLevel="0" collapsed="false">
      <c r="A44" s="4" t="n">
        <v>36.5</v>
      </c>
      <c r="B44" s="13" t="n">
        <f aca="false">B$5*(1+A_pore*B$6*($A44/100))/(1-B$6*(1+((1-phimax_pore)/phimax_pore^2)*($A44/100))*($A44/100))</f>
        <v>1.92381409277798</v>
      </c>
      <c r="C44" s="13" t="n">
        <f aca="false">B$7*(1+A_pore*B$8*($A44/100))/(1-B$8*(1+((1-phimax_pore)/phimax_pore^2)*($A44/100))*($A44/100))</f>
        <v>0.0562928226183132</v>
      </c>
      <c r="D44" s="13" t="n">
        <f aca="false">D$5*(1+A_pore*D$6*($A44/100))/(1-D$6*(1+((1-phimax_pore)/phimax_pore^2)*($A44/100))*($A44/100))</f>
        <v>1.95111312416712</v>
      </c>
      <c r="E44" s="13" t="n">
        <f aca="false">D$7*(1+A_pore*D$8*($A44/100))/(1-D$8*(1+((1-phimax_pore)/phimax_pore^2)*($A44/100))*($A44/100))</f>
        <v>0.0649129850497862</v>
      </c>
      <c r="F44" s="13" t="n">
        <f aca="false">F$5*(1+A_pore*F$6*($A44/100))/(1-F$6*(1+((1-phimax_pore)/phimax_pore^2)*($A44/100))*($A44/100))</f>
        <v>2.01441514280884</v>
      </c>
      <c r="G44" s="13" t="n">
        <f aca="false">F$7*(1+A_pore*F$8*($A44/100))/(1-F$8*(1+((1-phimax_pore)/phimax_pore^2)*($A44/100))*($A44/100))</f>
        <v>0.0861168249802724</v>
      </c>
      <c r="H44" s="13" t="n">
        <f aca="false">H$5*(1+A_pore*H$6*($A44/100))/(1-H$6*(1+((1-phimax_pore)/phimax_pore^2)*($A44/100))*($A44/100))</f>
        <v>2.09312390428879</v>
      </c>
      <c r="I44" s="13" t="n">
        <f aca="false">H$7*(1+A_pore*H$8*($A44/100))/(1-H$8*(1+((1-phimax_pore)/phimax_pore^2)*($A44/100))*($A44/100))</f>
        <v>0.129914672224205</v>
      </c>
      <c r="J44" s="13" t="n">
        <f aca="false">J$5*(1+A_pore*J$6*($A44/100))/(1-J$6*(1+((1-phimax_pore)/phimax_pore^2)*($A44/100))*($A44/100))</f>
        <v>2.19445445686106</v>
      </c>
      <c r="K44" s="13" t="n">
        <f aca="false">J$7*(1+A_pore*J$8*($A44/100))/(1-J$8*(1+((1-phimax_pore)/phimax_pore^2)*($A44/100))*($A44/100))</f>
        <v>0.491453908754465</v>
      </c>
    </row>
    <row r="45" customFormat="false" ht="15" hidden="false" customHeight="false" outlineLevel="0" collapsed="false">
      <c r="A45" s="4" t="n">
        <v>37</v>
      </c>
      <c r="B45" s="13" t="n">
        <f aca="false">B$5*(1+A_pore*B$6*($A45/100))/(1-B$6*(1+((1-phimax_pore)/phimax_pore^2)*($A45/100))*($A45/100))</f>
        <v>1.91125891238936</v>
      </c>
      <c r="C45" s="13" t="n">
        <f aca="false">B$7*(1+A_pore*B$8*($A45/100))/(1-B$8*(1+((1-phimax_pore)/phimax_pore^2)*($A45/100))*($A45/100))</f>
        <v>0.0558507936230479</v>
      </c>
      <c r="D45" s="13" t="n">
        <f aca="false">D$5*(1+A_pore*D$6*($A45/100))/(1-D$6*(1+((1-phimax_pore)/phimax_pore^2)*($A45/100))*($A45/100))</f>
        <v>1.93806874416952</v>
      </c>
      <c r="E45" s="13" t="n">
        <f aca="false">D$7*(1+A_pore*D$8*($A45/100))/(1-D$8*(1+((1-phimax_pore)/phimax_pore^2)*($A45/100))*($A45/100))</f>
        <v>0.0643047186397731</v>
      </c>
      <c r="F45" s="13" t="n">
        <f aca="false">F$5*(1+A_pore*F$6*($A45/100))/(1-F$6*(1+((1-phimax_pore)/phimax_pore^2)*($A45/100))*($A45/100))</f>
        <v>2.00022127317658</v>
      </c>
      <c r="G45" s="13" t="n">
        <f aca="false">F$7*(1+A_pore*F$8*($A45/100))/(1-F$8*(1+((1-phimax_pore)/phimax_pore^2)*($A45/100))*($A45/100))</f>
        <v>0.0850925298337858</v>
      </c>
      <c r="H45" s="13" t="n">
        <f aca="false">H$5*(1+A_pore*H$6*($A45/100))/(1-H$6*(1+((1-phimax_pore)/phimax_pore^2)*($A45/100))*($A45/100))</f>
        <v>2.07747481854072</v>
      </c>
      <c r="I45" s="13" t="n">
        <f aca="false">H$7*(1+A_pore*H$8*($A45/100))/(1-H$8*(1+((1-phimax_pore)/phimax_pore^2)*($A45/100))*($A45/100))</f>
        <v>0.128043730225993</v>
      </c>
      <c r="J45" s="13" t="n">
        <f aca="false">J$5*(1+A_pore*J$6*($A45/100))/(1-J$6*(1+((1-phimax_pore)/phimax_pore^2)*($A45/100))*($A45/100))</f>
        <v>2.17689724111629</v>
      </c>
      <c r="K45" s="13" t="n">
        <f aca="false">J$7*(1+A_pore*J$8*($A45/100))/(1-J$8*(1+((1-phimax_pore)/phimax_pore^2)*($A45/100))*($A45/100))</f>
        <v>0.482715569459607</v>
      </c>
    </row>
    <row r="46" customFormat="false" ht="15" hidden="false" customHeight="false" outlineLevel="0" collapsed="false">
      <c r="A46" s="4" t="n">
        <v>37.5</v>
      </c>
      <c r="B46" s="13" t="n">
        <f aca="false">B$5*(1+A_pore*B$6*($A46/100))/(1-B$6*(1+((1-phimax_pore)/phimax_pore^2)*($A46/100))*($A46/100))</f>
        <v>1.89884501948568</v>
      </c>
      <c r="C46" s="13" t="n">
        <f aca="false">B$7*(1+A_pore*B$8*($A46/100))/(1-B$8*(1+((1-phimax_pore)/phimax_pore^2)*($A46/100))*($A46/100))</f>
        <v>0.0554146245546313</v>
      </c>
      <c r="D46" s="13" t="n">
        <f aca="false">D$5*(1+A_pore*D$6*($A46/100))/(1-D$6*(1+((1-phimax_pore)/phimax_pore^2)*($A46/100))*($A46/100))</f>
        <v>1.92517440140007</v>
      </c>
      <c r="E46" s="13" t="n">
        <f aca="false">D$7*(1+A_pore*D$8*($A46/100))/(1-D$8*(1+((1-phimax_pore)/phimax_pore^2)*($A46/100))*($A46/100))</f>
        <v>0.063705780806517</v>
      </c>
      <c r="F46" s="13" t="n">
        <f aca="false">F$5*(1+A_pore*F$6*($A46/100))/(1-F$6*(1+((1-phimax_pore)/phimax_pore^2)*($A46/100))*($A46/100))</f>
        <v>1.98619853980403</v>
      </c>
      <c r="G46" s="13" t="n">
        <f aca="false">F$7*(1+A_pore*F$8*($A46/100))/(1-F$8*(1+((1-phimax_pore)/phimax_pore^2)*($A46/100))*($A46/100))</f>
        <v>0.0840868297940916</v>
      </c>
      <c r="H46" s="13" t="n">
        <f aca="false">H$5*(1+A_pore*H$6*($A46/100))/(1-H$6*(1+((1-phimax_pore)/phimax_pore^2)*($A46/100))*($A46/100))</f>
        <v>2.06202455218522</v>
      </c>
      <c r="I46" s="13" t="n">
        <f aca="false">H$7*(1+A_pore*H$8*($A46/100))/(1-H$8*(1+((1-phimax_pore)/phimax_pore^2)*($A46/100))*($A46/100))</f>
        <v>0.126210391335937</v>
      </c>
      <c r="J46" s="13" t="n">
        <f aca="false">J$5*(1+A_pore*J$6*($A46/100))/(1-J$6*(1+((1-phimax_pore)/phimax_pore^2)*($A46/100))*($A46/100))</f>
        <v>2.1595765396592</v>
      </c>
      <c r="K46" s="13" t="n">
        <f aca="false">J$7*(1+A_pore*J$8*($A46/100))/(1-J$8*(1+((1-phimax_pore)/phimax_pore^2)*($A46/100))*($A46/100))</f>
        <v>0.474166524882654</v>
      </c>
    </row>
    <row r="47" customFormat="false" ht="15" hidden="false" customHeight="false" outlineLevel="0" collapsed="false">
      <c r="A47" s="4" t="n">
        <v>38</v>
      </c>
      <c r="B47" s="13" t="n">
        <f aca="false">B$5*(1+A_pore*B$6*($A47/100))/(1-B$6*(1+((1-phimax_pore)/phimax_pore^2)*($A47/100))*($A47/100))</f>
        <v>1.88657004530811</v>
      </c>
      <c r="C47" s="13" t="n">
        <f aca="false">B$7*(1+A_pore*B$8*($A47/100))/(1-B$8*(1+((1-phimax_pore)/phimax_pore^2)*($A47/100))*($A47/100))</f>
        <v>0.0549841997857459</v>
      </c>
      <c r="D47" s="13" t="n">
        <f aca="false">D$5*(1+A_pore*D$6*($A47/100))/(1-D$6*(1+((1-phimax_pore)/phimax_pore^2)*($A47/100))*($A47/100))</f>
        <v>1.91242752509794</v>
      </c>
      <c r="E47" s="13" t="n">
        <f aca="false">D$7*(1+A_pore*D$8*($A47/100))/(1-D$8*(1+((1-phimax_pore)/phimax_pore^2)*($A47/100))*($A47/100))</f>
        <v>0.0631159588279431</v>
      </c>
      <c r="F47" s="13" t="n">
        <f aca="false">F$5*(1+A_pore*F$6*($A47/100))/(1-F$6*(1+((1-phimax_pore)/phimax_pore^2)*($A47/100))*($A47/100))</f>
        <v>1.97234386971947</v>
      </c>
      <c r="G47" s="13" t="n">
        <f aca="false">F$7*(1+A_pore*F$8*($A47/100))/(1-F$8*(1+((1-phimax_pore)/phimax_pore^2)*($A47/100))*($A47/100))</f>
        <v>0.0830992236858423</v>
      </c>
      <c r="H47" s="13" t="n">
        <f aca="false">H$5*(1+A_pore*H$6*($A47/100))/(1-H$6*(1+((1-phimax_pore)/phimax_pore^2)*($A47/100))*($A47/100))</f>
        <v>2.04676934450419</v>
      </c>
      <c r="I47" s="13" t="n">
        <f aca="false">H$7*(1+A_pore*H$8*($A47/100))/(1-H$8*(1+((1-phimax_pore)/phimax_pore^2)*($A47/100))*($A47/100))</f>
        <v>0.1244135348258</v>
      </c>
      <c r="J47" s="13" t="n">
        <f aca="false">J$5*(1+A_pore*J$6*($A47/100))/(1-J$6*(1+((1-phimax_pore)/phimax_pore^2)*($A47/100))*($A47/100))</f>
        <v>2.14248761071798</v>
      </c>
      <c r="K47" s="13" t="n">
        <f aca="false">J$7*(1+A_pore*J$8*($A47/100))/(1-J$8*(1+((1-phimax_pore)/phimax_pore^2)*($A47/100))*($A47/100))</f>
        <v>0.46580070074559</v>
      </c>
    </row>
    <row r="48" customFormat="false" ht="15" hidden="false" customHeight="false" outlineLevel="0" collapsed="false">
      <c r="A48" s="4" t="n">
        <v>38.5</v>
      </c>
      <c r="B48" s="13" t="n">
        <f aca="false">B$5*(1+A_pore*B$6*($A48/100))/(1-B$6*(1+((1-phimax_pore)/phimax_pore^2)*($A48/100))*($A48/100))</f>
        <v>1.87443167375429</v>
      </c>
      <c r="C48" s="13" t="n">
        <f aca="false">B$7*(1+A_pore*B$8*($A48/100))/(1-B$8*(1+((1-phimax_pore)/phimax_pore^2)*($A48/100))*($A48/100))</f>
        <v>0.0545594067112274</v>
      </c>
      <c r="D48" s="13" t="n">
        <f aca="false">D$5*(1+A_pore*D$6*($A48/100))/(1-D$6*(1+((1-phimax_pore)/phimax_pore^2)*($A48/100))*($A48/100))</f>
        <v>1.89982560289858</v>
      </c>
      <c r="E48" s="13" t="n">
        <f aca="false">D$7*(1+A_pore*D$8*($A48/100))/(1-D$8*(1+((1-phimax_pore)/phimax_pore^2)*($A48/100))*($A48/100))</f>
        <v>0.0625350464008159</v>
      </c>
      <c r="F48" s="13" t="n">
        <f aca="false">F$5*(1+A_pore*F$6*($A48/100))/(1-F$6*(1+((1-phimax_pore)/phimax_pore^2)*($A48/100))*($A48/100))</f>
        <v>1.9586542630849</v>
      </c>
      <c r="G48" s="13" t="n">
        <f aca="false">F$7*(1+A_pore*F$8*($A48/100))/(1-F$8*(1+((1-phimax_pore)/phimax_pore^2)*($A48/100))*($A48/100))</f>
        <v>0.0821292281834386</v>
      </c>
      <c r="H48" s="13" t="n">
        <f aca="false">H$5*(1+A_pore*H$6*($A48/100))/(1-H$6*(1+((1-phimax_pore)/phimax_pore^2)*($A48/100))*($A48/100))</f>
        <v>2.03170552903094</v>
      </c>
      <c r="I48" s="13" t="n">
        <f aca="false">H$7*(1+A_pore*H$8*($A48/100))/(1-H$8*(1+((1-phimax_pore)/phimax_pore^2)*($A48/100))*($A48/100))</f>
        <v>0.122652084065368</v>
      </c>
      <c r="J48" s="13" t="n">
        <f aca="false">J$5*(1+A_pore*J$6*($A48/100))/(1-J$6*(1+((1-phimax_pore)/phimax_pore^2)*($A48/100))*($A48/100))</f>
        <v>2.12562583843257</v>
      </c>
      <c r="K48" s="13" t="n">
        <f aca="false">J$7*(1+A_pore*J$8*($A48/100))/(1-J$8*(1+((1-phimax_pore)/phimax_pore^2)*($A48/100))*($A48/100))</f>
        <v>0.45761227990782</v>
      </c>
    </row>
    <row r="49" customFormat="false" ht="15" hidden="false" customHeight="false" outlineLevel="0" collapsed="false">
      <c r="A49" s="4" t="n">
        <v>39</v>
      </c>
      <c r="B49" s="13" t="n">
        <f aca="false">B$5*(1+A_pore*B$6*($A49/100))/(1-B$6*(1+((1-phimax_pore)/phimax_pore^2)*($A49/100))*($A49/100))</f>
        <v>1.86242763992325</v>
      </c>
      <c r="C49" s="13" t="n">
        <f aca="false">B$7*(1+A_pore*B$8*($A49/100))/(1-B$8*(1+((1-phimax_pore)/phimax_pore^2)*($A49/100))*($A49/100))</f>
        <v>0.0541401356499683</v>
      </c>
      <c r="D49" s="13" t="n">
        <f aca="false">D$5*(1+A_pore*D$6*($A49/100))/(1-D$6*(1+((1-phimax_pore)/phimax_pore^2)*($A49/100))*($A49/100))</f>
        <v>1.88736617918494</v>
      </c>
      <c r="E49" s="13" t="n">
        <f aca="false">D$7*(1+A_pore*D$8*($A49/100))/(1-D$8*(1+((1-phimax_pore)/phimax_pore^2)*($A49/100))*($A49/100))</f>
        <v>0.0619628434004436</v>
      </c>
      <c r="F49" s="13" t="n">
        <f aca="false">F$5*(1+A_pore*F$6*($A49/100))/(1-F$6*(1+((1-phimax_pore)/phimax_pore^2)*($A49/100))*($A49/100))</f>
        <v>1.94512679103333</v>
      </c>
      <c r="G49" s="13" t="n">
        <f aca="false">F$7*(1+A_pore*F$8*($A49/100))/(1-F$8*(1+((1-phimax_pore)/phimax_pore^2)*($A49/100))*($A49/100))</f>
        <v>0.0811763770233771</v>
      </c>
      <c r="H49" s="13" t="n">
        <f aca="false">H$5*(1+A_pore*H$6*($A49/100))/(1-H$6*(1+((1-phimax_pore)/phimax_pore^2)*($A49/100))*($A49/100))</f>
        <v>2.01682953061591</v>
      </c>
      <c r="I49" s="13" t="n">
        <f aca="false">H$7*(1+A_pore*H$8*($A49/100))/(1-H$8*(1+((1-phimax_pore)/phimax_pore^2)*($A49/100))*($A49/100))</f>
        <v>0.120925004374634</v>
      </c>
      <c r="J49" s="13" t="n">
        <f aca="false">J$5*(1+A_pore*J$6*($A49/100))/(1-J$6*(1+((1-phimax_pore)/phimax_pore^2)*($A49/100))*($A49/100))</f>
        <v>2.10898672870292</v>
      </c>
      <c r="K49" s="13" t="n">
        <f aca="false">J$7*(1+A_pore*J$8*($A49/100))/(1-J$8*(1+((1-phimax_pore)/phimax_pore^2)*($A49/100))*($A49/100))</f>
        <v>0.449595688902175</v>
      </c>
    </row>
    <row r="50" customFormat="false" ht="15" hidden="false" customHeight="false" outlineLevel="0" collapsed="false">
      <c r="A50" s="4" t="n">
        <v>39.5</v>
      </c>
      <c r="B50" s="13" t="n">
        <f aca="false">B$5*(1+A_pore*B$6*($A50/100))/(1-B$6*(1+((1-phimax_pore)/phimax_pore^2)*($A50/100))*($A50/100))</f>
        <v>1.85055572870833</v>
      </c>
      <c r="C50" s="13" t="n">
        <f aca="false">B$7*(1+A_pore*B$8*($A50/100))/(1-B$8*(1+((1-phimax_pore)/phimax_pore^2)*($A50/100))*($A50/100))</f>
        <v>0.0537262797506176</v>
      </c>
      <c r="D50" s="13" t="n">
        <f aca="false">D$5*(1+A_pore*D$6*($A50/100))/(1-D$6*(1+((1-phimax_pore)/phimax_pore^2)*($A50/100))*($A50/100))</f>
        <v>1.87504685349425</v>
      </c>
      <c r="E50" s="13" t="n">
        <f aca="false">D$7*(1+A_pore*D$8*($A50/100))/(1-D$8*(1+((1-phimax_pore)/phimax_pore^2)*($A50/100))*($A50/100))</f>
        <v>0.0613991556510968</v>
      </c>
      <c r="F50" s="13" t="n">
        <f aca="false">F$5*(1+A_pore*F$6*($A50/100))/(1-F$6*(1+((1-phimax_pore)/phimax_pore^2)*($A50/100))*($A50/100))</f>
        <v>1.93175859358225</v>
      </c>
      <c r="G50" s="13" t="n">
        <f aca="false">F$7*(1+A_pore*F$8*($A50/100))/(1-F$8*(1+((1-phimax_pore)/phimax_pore^2)*($A50/100))*($A50/100))</f>
        <v>0.0802402202579405</v>
      </c>
      <c r="H50" s="13" t="n">
        <f aca="false">H$5*(1+A_pore*H$6*($A50/100))/(1-H$6*(1+((1-phimax_pore)/phimax_pore^2)*($A50/100))*($A50/100))</f>
        <v>2.00213786260133</v>
      </c>
      <c r="I50" s="13" t="n">
        <f aca="false">H$7*(1+A_pore*H$8*($A50/100))/(1-H$8*(1+((1-phimax_pore)/phimax_pore^2)*($A50/100))*($A50/100))</f>
        <v>0.119231301000303</v>
      </c>
      <c r="J50" s="13" t="n">
        <f aca="false">J$5*(1+A_pore*J$6*($A50/100))/(1-J$6*(1+((1-phimax_pore)/phimax_pore^2)*($A50/100))*($A50/100))</f>
        <v>2.09256590520048</v>
      </c>
      <c r="K50" s="13" t="n">
        <f aca="false">J$7*(1+A_pore*J$8*($A50/100))/(1-J$8*(1+((1-phimax_pore)/phimax_pore^2)*($A50/100))*($A50/100))</f>
        <v>0.441745585308138</v>
      </c>
    </row>
    <row r="51" customFormat="false" ht="15" hidden="false" customHeight="false" outlineLevel="0" collapsed="false">
      <c r="A51" s="4" t="n">
        <v>40</v>
      </c>
      <c r="B51" s="13" t="n">
        <f aca="false">B$5*(1+A_pore*B$6*($A51/100))/(1-B$6*(1+((1-phimax_pore)/phimax_pore^2)*($A51/100))*($A51/100))</f>
        <v>1.83881377343623</v>
      </c>
      <c r="C51" s="13" t="n">
        <f aca="false">B$7*(1+A_pore*B$8*($A51/100))/(1-B$8*(1+((1-phimax_pore)/phimax_pore^2)*($A51/100))*($A51/100))</f>
        <v>0.0533177349009065</v>
      </c>
      <c r="D51" s="13" t="n">
        <f aca="false">D$5*(1+A_pore*D$6*($A51/100))/(1-D$6*(1+((1-phimax_pore)/phimax_pore^2)*($A51/100))*($A51/100))</f>
        <v>1.86286527897819</v>
      </c>
      <c r="E51" s="13" t="n">
        <f aca="false">D$7*(1+A_pore*D$8*($A51/100))/(1-D$8*(1+((1-phimax_pore)/phimax_pore^2)*($A51/100))*($A51/100))</f>
        <v>0.0608437947065884</v>
      </c>
      <c r="F51" s="13" t="n">
        <f aca="false">F$5*(1+A_pore*F$6*($A51/100))/(1-F$6*(1+((1-phimax_pore)/phimax_pore^2)*($A51/100))*($A51/100))</f>
        <v>1.91854687762039</v>
      </c>
      <c r="G51" s="13" t="n">
        <f aca="false">F$7*(1+A_pore*F$8*($A51/100))/(1-F$8*(1+((1-phimax_pore)/phimax_pore^2)*($A51/100))*($A51/100))</f>
        <v>0.0793203235477218</v>
      </c>
      <c r="H51" s="13" t="n">
        <f aca="false">H$5*(1+A_pore*H$6*($A51/100))/(1-H$6*(1+((1-phimax_pore)/phimax_pore^2)*($A51/100))*($A51/100))</f>
        <v>1.98762712410012</v>
      </c>
      <c r="I51" s="13" t="n">
        <f aca="false">H$7*(1+A_pore*H$8*($A51/100))/(1-H$8*(1+((1-phimax_pore)/phimax_pore^2)*($A51/100))*($A51/100))</f>
        <v>0.11757001720831</v>
      </c>
      <c r="J51" s="13" t="n">
        <f aca="false">J$5*(1+A_pore*J$6*($A51/100))/(1-J$6*(1+((1-phimax_pore)/phimax_pore^2)*($A51/100))*($A51/100))</f>
        <v>2.07635910553545</v>
      </c>
      <c r="K51" s="13" t="n">
        <f aca="false">J$7*(1+A_pore*J$8*($A51/100))/(1-J$8*(1+((1-phimax_pore)/phimax_pore^2)*($A51/100))*($A51/100))</f>
        <v>0.434056845902177</v>
      </c>
    </row>
    <row r="52" customFormat="false" ht="15" hidden="false" customHeight="false" outlineLevel="0" collapsed="false">
      <c r="A52" s="4" t="n">
        <v>40.5</v>
      </c>
      <c r="B52" s="13" t="n">
        <f aca="false">B$5*(1+A_pore*B$6*($A52/100))/(1-B$6*(1+((1-phimax_pore)/phimax_pore^2)*($A52/100))*($A52/100))</f>
        <v>1.82719965455044</v>
      </c>
      <c r="C52" s="13" t="n">
        <f aca="false">B$7*(1+A_pore*B$8*($A52/100))/(1-B$8*(1+((1-phimax_pore)/phimax_pore^2)*($A52/100))*($A52/100))</f>
        <v>0.0529143996404386</v>
      </c>
      <c r="D52" s="13" t="n">
        <f aca="false">D$5*(1+A_pore*D$6*($A52/100))/(1-D$6*(1+((1-phimax_pore)/phimax_pore^2)*($A52/100))*($A52/100))</f>
        <v>1.85081916091435</v>
      </c>
      <c r="E52" s="13" t="n">
        <f aca="false">D$7*(1+A_pore*D$8*($A52/100))/(1-D$8*(1+((1-phimax_pore)/phimax_pore^2)*($A52/100))*($A52/100))</f>
        <v>0.0602965776404938</v>
      </c>
      <c r="F52" s="13" t="n">
        <f aca="false">F$5*(1+A_pore*F$6*($A52/100))/(1-F$6*(1+((1-phimax_pore)/phimax_pore^2)*($A52/100))*($A52/100))</f>
        <v>1.90548891496457</v>
      </c>
      <c r="G52" s="13" t="n">
        <f aca="false">F$7*(1+A_pore*F$8*($A52/100))/(1-F$8*(1+((1-phimax_pore)/phimax_pore^2)*($A52/100))*($A52/100))</f>
        <v>0.078416267490644</v>
      </c>
      <c r="H52" s="13" t="n">
        <f aca="false">H$5*(1+A_pore*H$6*($A52/100))/(1-H$6*(1+((1-phimax_pore)/phimax_pore^2)*($A52/100))*($A52/100))</f>
        <v>1.97329399737463</v>
      </c>
      <c r="I52" s="13" t="n">
        <f aca="false">H$7*(1+A_pore*H$8*($A52/100))/(1-H$8*(1+((1-phimax_pore)/phimax_pore^2)*($A52/100))*($A52/100))</f>
        <v>0.115940232484654</v>
      </c>
      <c r="J52" s="13" t="n">
        <f aca="false">J$5*(1+A_pore*J$6*($A52/100))/(1-J$6*(1+((1-phimax_pore)/phimax_pore^2)*($A52/100))*($A52/100))</f>
        <v>2.0603621775727</v>
      </c>
      <c r="K52" s="13" t="n">
        <f aca="false">J$7*(1+A_pore*J$8*($A52/100))/(1-J$8*(1+((1-phimax_pore)/phimax_pore^2)*($A52/100))*($A52/100))</f>
        <v>0.426524555529952</v>
      </c>
    </row>
    <row r="53" customFormat="false" ht="15" hidden="false" customHeight="false" outlineLevel="0" collapsed="false">
      <c r="A53" s="4" t="n">
        <v>41</v>
      </c>
      <c r="B53" s="13" t="n">
        <f aca="false">B$5*(1+A_pore*B$6*($A53/100))/(1-B$6*(1+((1-phimax_pore)/phimax_pore^2)*($A53/100))*($A53/100))</f>
        <v>1.81571129833745</v>
      </c>
      <c r="C53" s="13" t="n">
        <f aca="false">B$7*(1+A_pore*B$8*($A53/100))/(1-B$8*(1+((1-phimax_pore)/phimax_pore^2)*($A53/100))*($A53/100))</f>
        <v>0.0525161750767907</v>
      </c>
      <c r="D53" s="13" t="n">
        <f aca="false">D$5*(1+A_pore*D$6*($A53/100))/(1-D$6*(1+((1-phimax_pore)/phimax_pore^2)*($A53/100))*($A53/100))</f>
        <v>1.83890625526701</v>
      </c>
      <c r="E53" s="13" t="n">
        <f aca="false">D$7*(1+A_pore*D$8*($A53/100))/(1-D$8*(1+((1-phimax_pore)/phimax_pore^2)*($A53/100))*($A53/100))</f>
        <v>0.0597573268455221</v>
      </c>
      <c r="F53" s="13" t="n">
        <f aca="false">F$5*(1+A_pore*F$6*($A53/100))/(1-F$6*(1+((1-phimax_pore)/phimax_pore^2)*($A53/100))*($A53/100))</f>
        <v>1.89258204048402</v>
      </c>
      <c r="G53" s="13" t="n">
        <f aca="false">F$7*(1+A_pore*F$8*($A53/100))/(1-F$8*(1+((1-phimax_pore)/phimax_pore^2)*($A53/100))*($A53/100))</f>
        <v>0.0775276469852983</v>
      </c>
      <c r="H53" s="13" t="n">
        <f aca="false">H$5*(1+A_pore*H$6*($A53/100))/(1-H$6*(1+((1-phimax_pore)/phimax_pore^2)*($A53/100))*($A53/100))</f>
        <v>1.95913524531083</v>
      </c>
      <c r="I53" s="13" t="n">
        <f aca="false">H$7*(1+A_pore*H$8*($A53/100))/(1-H$8*(1+((1-phimax_pore)/phimax_pore^2)*($A53/100))*($A53/100))</f>
        <v>0.114341060837437</v>
      </c>
      <c r="J53" s="13" t="n">
        <f aca="false">J$5*(1+A_pore*J$6*($A53/100))/(1-J$6*(1+((1-phimax_pore)/phimax_pore^2)*($A53/100))*($A53/100))</f>
        <v>2.04457107588979</v>
      </c>
      <c r="K53" s="13" t="n">
        <f aca="false">J$7*(1+A_pore*J$8*($A53/100))/(1-J$8*(1+((1-phimax_pore)/phimax_pore^2)*($A53/100))*($A53/100))</f>
        <v>0.419143996649604</v>
      </c>
    </row>
    <row r="54" customFormat="false" ht="15" hidden="false" customHeight="false" outlineLevel="0" collapsed="false">
      <c r="A54" s="4" t="n">
        <v>41.5</v>
      </c>
      <c r="B54" s="13" t="n">
        <f aca="false">B$5*(1+A_pore*B$6*($A54/100))/(1-B$6*(1+((1-phimax_pore)/phimax_pore^2)*($A54/100))*($A54/100))</f>
        <v>1.80434667569398</v>
      </c>
      <c r="C54" s="13" t="n">
        <f aca="false">B$7*(1+A_pore*B$8*($A54/100))/(1-B$8*(1+((1-phimax_pore)/phimax_pore^2)*($A54/100))*($A54/100))</f>
        <v>0.0521229648047794</v>
      </c>
      <c r="D54" s="13" t="n">
        <f aca="false">D$5*(1+A_pore*D$6*($A54/100))/(1-D$6*(1+((1-phimax_pore)/phimax_pore^2)*($A54/100))*($A54/100))</f>
        <v>1.82712436729532</v>
      </c>
      <c r="E54" s="13" t="n">
        <f aca="false">D$7*(1+A_pore*D$8*($A54/100))/(1-D$8*(1+((1-phimax_pore)/phimax_pore^2)*($A54/100))*($A54/100))</f>
        <v>0.0592258698415736</v>
      </c>
      <c r="F54" s="13" t="n">
        <f aca="false">F$5*(1+A_pore*F$6*($A54/100))/(1-F$6*(1+((1-phimax_pore)/phimax_pore^2)*($A54/100))*($A54/100))</f>
        <v>1.87982365028926</v>
      </c>
      <c r="G54" s="13" t="n">
        <f aca="false">F$7*(1+A_pore*F$8*($A54/100))/(1-F$8*(1+((1-phimax_pore)/phimax_pore^2)*($A54/100))*($A54/100))</f>
        <v>0.0766540706265707</v>
      </c>
      <c r="H54" s="13" t="n">
        <f aca="false">H$5*(1+A_pore*H$6*($A54/100))/(1-H$6*(1+((1-phimax_pore)/phimax_pore^2)*($A54/100))*($A54/100))</f>
        <v>1.94514770898414</v>
      </c>
      <c r="I54" s="13" t="n">
        <f aca="false">H$7*(1+A_pore*H$8*($A54/100))/(1-H$8*(1+((1-phimax_pore)/phimax_pore^2)*($A54/100))*($A54/100))</f>
        <v>0.112771649193547</v>
      </c>
      <c r="J54" s="13" t="n">
        <f aca="false">J$5*(1+A_pore*J$6*($A54/100))/(1-J$6*(1+((1-phimax_pore)/phimax_pore^2)*($A54/100))*($A54/100))</f>
        <v>2.02898185837058</v>
      </c>
      <c r="K54" s="13" t="n">
        <f aca="false">J$7*(1+A_pore*J$8*($A54/100))/(1-J$8*(1+((1-phimax_pore)/phimax_pore^2)*($A54/100))*($A54/100))</f>
        <v>0.411910639499391</v>
      </c>
    </row>
    <row r="55" customFormat="false" ht="15" hidden="false" customHeight="false" outlineLevel="0" collapsed="false">
      <c r="A55" s="4" t="n">
        <v>42</v>
      </c>
      <c r="B55" s="13" t="n">
        <f aca="false">B$5*(1+A_pore*B$6*($A55/100))/(1-B$6*(1+((1-phimax_pore)/phimax_pore^2)*($A55/100))*($A55/100))</f>
        <v>1.79310380093381</v>
      </c>
      <c r="C55" s="13" t="n">
        <f aca="false">B$7*(1+A_pore*B$8*($A55/100))/(1-B$8*(1+((1-phimax_pore)/phimax_pore^2)*($A55/100))*($A55/100))</f>
        <v>0.0517346748287538</v>
      </c>
      <c r="D55" s="13" t="n">
        <f aca="false">D$5*(1+A_pore*D$6*($A55/100))/(1-D$6*(1+((1-phimax_pore)/phimax_pore^2)*($A55/100))*($A55/100))</f>
        <v>1.81547135020714</v>
      </c>
      <c r="E55" s="13" t="n">
        <f aca="false">D$7*(1+A_pore*D$8*($A55/100))/(1-D$8*(1+((1-phimax_pore)/phimax_pore^2)*($A55/100))*($A55/100))</f>
        <v>0.0587020390920501</v>
      </c>
      <c r="F55" s="13" t="n">
        <f aca="false">F$5*(1+A_pore*F$6*($A55/100))/(1-F$6*(1+((1-phimax_pore)/phimax_pore^2)*($A55/100))*($A55/100))</f>
        <v>1.86721119998313</v>
      </c>
      <c r="G55" s="13" t="n">
        <f aca="false">F$7*(1+A_pore*F$8*($A55/100))/(1-F$8*(1+((1-phimax_pore)/phimax_pore^2)*($A55/100))*($A55/100))</f>
        <v>0.0757951601316609</v>
      </c>
      <c r="H55" s="13" t="n">
        <f aca="false">H$5*(1+A_pore*H$6*($A55/100))/(1-H$6*(1+((1-phimax_pore)/phimax_pore^2)*($A55/100))*($A55/100))</f>
        <v>1.93132830531285</v>
      </c>
      <c r="I55" s="13" t="n">
        <f aca="false">H$7*(1+A_pore*H$8*($A55/100))/(1-H$8*(1+((1-phimax_pore)/phimax_pore^2)*($A55/100))*($A55/100))</f>
        <v>0.111231175883865</v>
      </c>
      <c r="J55" s="13" t="n">
        <f aca="false">J$5*(1+A_pore*J$6*($A55/100))/(1-J$6*(1+((1-phimax_pore)/phimax_pore^2)*($A55/100))*($A55/100))</f>
        <v>2.01359068292854</v>
      </c>
      <c r="K55" s="13" t="n">
        <f aca="false">J$7*(1+A_pore*J$8*($A55/100))/(1-J$8*(1+((1-phimax_pore)/phimax_pore^2)*($A55/100))*($A55/100))</f>
        <v>0.404820132846587</v>
      </c>
    </row>
    <row r="56" customFormat="false" ht="15" hidden="false" customHeight="false" outlineLevel="0" collapsed="false">
      <c r="A56" s="4" t="n">
        <v>42.5</v>
      </c>
      <c r="B56" s="13" t="n">
        <f aca="false">B$5*(1+A_pore*B$6*($A56/100))/(1-B$6*(1+((1-phimax_pore)/phimax_pore^2)*($A56/100))*($A56/100))</f>
        <v>1.78198073063276</v>
      </c>
      <c r="C56" s="13" t="n">
        <f aca="false">B$7*(1+A_pore*B$8*($A56/100))/(1-B$8*(1+((1-phimax_pore)/phimax_pore^2)*($A56/100))*($A56/100))</f>
        <v>0.0513512134877841</v>
      </c>
      <c r="D56" s="13" t="n">
        <f aca="false">D$5*(1+A_pore*D$6*($A56/100))/(1-D$6*(1+((1-phimax_pore)/phimax_pore^2)*($A56/100))*($A56/100))</f>
        <v>1.80394510385672</v>
      </c>
      <c r="E56" s="13" t="n">
        <f aca="false">D$7*(1+A_pore*D$8*($A56/100))/(1-D$8*(1+((1-phimax_pore)/phimax_pore^2)*($A56/100))*($A56/100))</f>
        <v>0.0581856718280066</v>
      </c>
      <c r="F56" s="13" t="n">
        <f aca="false">F$5*(1+A_pore*F$6*($A56/100))/(1-F$6*(1+((1-phimax_pore)/phimax_pore^2)*($A56/100))*($A56/100))</f>
        <v>1.85474220297134</v>
      </c>
      <c r="G56" s="13" t="n">
        <f aca="false">F$7*(1+A_pore*F$8*($A56/100))/(1-F$8*(1+((1-phimax_pore)/phimax_pore^2)*($A56/100))*($A56/100))</f>
        <v>0.074950549794728</v>
      </c>
      <c r="H56" s="13" t="n">
        <f aca="false">H$5*(1+A_pore*H$6*($A56/100))/(1-H$6*(1+((1-phimax_pore)/phimax_pore^2)*($A56/100))*($A56/100))</f>
        <v>1.9176740247955</v>
      </c>
      <c r="I56" s="13" t="n">
        <f aca="false">H$7*(1+A_pore*H$8*($A56/100))/(1-H$8*(1+((1-phimax_pore)/phimax_pore^2)*($A56/100))*($A56/100))</f>
        <v>0.109718849211359</v>
      </c>
      <c r="J56" s="13" t="n">
        <f aca="false">J$5*(1+A_pore*J$6*($A56/100))/(1-J$6*(1+((1-phimax_pore)/phimax_pore^2)*($A56/100))*($A56/100))</f>
        <v>1.99839380435403</v>
      </c>
      <c r="K56" s="13" t="n">
        <f aca="false">J$7*(1+A_pore*J$8*($A56/100))/(1-J$8*(1+((1-phimax_pore)/phimax_pore^2)*($A56/100))*($A56/100))</f>
        <v>0.397868295277975</v>
      </c>
    </row>
    <row r="57" customFormat="false" ht="15" hidden="false" customHeight="false" outlineLevel="0" collapsed="false">
      <c r="A57" s="4" t="n">
        <v>43</v>
      </c>
      <c r="B57" s="13" t="n">
        <f aca="false">B$5*(1+A_pore*B$6*($A57/100))/(1-B$6*(1+((1-phimax_pore)/phimax_pore^2)*($A57/100))*($A57/100))</f>
        <v>1.77097556251022</v>
      </c>
      <c r="C57" s="13" t="n">
        <f aca="false">B$7*(1+A_pore*B$8*($A57/100))/(1-B$8*(1+((1-phimax_pore)/phimax_pore^2)*($A57/100))*($A57/100))</f>
        <v>0.0509724913836192</v>
      </c>
      <c r="D57" s="13" t="n">
        <f aca="false">D$5*(1+A_pore*D$6*($A57/100))/(1-D$6*(1+((1-phimax_pore)/phimax_pore^2)*($A57/100))*($A57/100))</f>
        <v>1.7925435734846</v>
      </c>
      <c r="E57" s="13" t="n">
        <f aca="false">D$7*(1+A_pore*D$8*($A57/100))/(1-D$8*(1+((1-phimax_pore)/phimax_pore^2)*($A57/100))*($A57/100))</f>
        <v>0.0576766098797546</v>
      </c>
      <c r="F57" s="13" t="n">
        <f aca="false">F$5*(1+A_pore*F$6*($A57/100))/(1-F$6*(1+((1-phimax_pore)/phimax_pore^2)*($A57/100))*($A57/100))</f>
        <v>1.84241422883031</v>
      </c>
      <c r="G57" s="13" t="n">
        <f aca="false">F$7*(1+A_pore*F$8*($A57/100))/(1-F$8*(1+((1-phimax_pore)/phimax_pore^2)*($A57/100))*($A57/100))</f>
        <v>0.0741198859685079</v>
      </c>
      <c r="H57" s="13" t="n">
        <f aca="false">H$5*(1+A_pore*H$6*($A57/100))/(1-H$6*(1+((1-phimax_pore)/phimax_pore^2)*($A57/100))*($A57/100))</f>
        <v>1.9041819293289</v>
      </c>
      <c r="I57" s="13" t="n">
        <f aca="false">H$7*(1+A_pore*H$8*($A57/100))/(1-H$8*(1+((1-phimax_pore)/phimax_pore^2)*($A57/100))*($A57/100))</f>
        <v>0.108233906096814</v>
      </c>
      <c r="J57" s="13" t="n">
        <f aca="false">J$5*(1+A_pore*J$6*($A57/100))/(1-J$6*(1+((1-phimax_pore)/phimax_pore^2)*($A57/100))*($A57/100))</f>
        <v>1.98338757127997</v>
      </c>
      <c r="K57" s="13" t="n">
        <f aca="false">J$7*(1+A_pore*J$8*($A57/100))/(1-J$8*(1+((1-phimax_pore)/phimax_pore^2)*($A57/100))*($A57/100))</f>
        <v>0.391051106995265</v>
      </c>
    </row>
    <row r="58" customFormat="false" ht="15" hidden="false" customHeight="false" outlineLevel="0" collapsed="false">
      <c r="A58" s="4" t="n">
        <v>43.5</v>
      </c>
      <c r="B58" s="13" t="n">
        <f aca="false">B$5*(1+A_pore*B$6*($A58/100))/(1-B$6*(1+((1-phimax_pore)/phimax_pore^2)*($A58/100))*($A58/100))</f>
        <v>1.76008643434614</v>
      </c>
      <c r="C58" s="13" t="n">
        <f aca="false">B$7*(1+A_pore*B$8*($A58/100))/(1-B$8*(1+((1-phimax_pore)/phimax_pore^2)*($A58/100))*($A58/100))</f>
        <v>0.0505984213112974</v>
      </c>
      <c r="D58" s="13" t="n">
        <f aca="false">D$5*(1+A_pore*D$6*($A58/100))/(1-D$6*(1+((1-phimax_pore)/phimax_pore^2)*($A58/100))*($A58/100))</f>
        <v>1.78126474849815</v>
      </c>
      <c r="E58" s="13" t="n">
        <f aca="false">D$7*(1+A_pore*D$8*($A58/100))/(1-D$8*(1+((1-phimax_pore)/phimax_pore^2)*($A58/100))*($A58/100))</f>
        <v>0.057174699515555</v>
      </c>
      <c r="F58" s="13" t="n">
        <f aca="false">F$5*(1+A_pore*F$6*($A58/100))/(1-F$6*(1+((1-phimax_pore)/phimax_pore^2)*($A58/100))*($A58/100))</f>
        <v>1.83022490173001</v>
      </c>
      <c r="G58" s="13" t="n">
        <f aca="false">F$7*(1+A_pore*F$8*($A58/100))/(1-F$8*(1+((1-phimax_pore)/phimax_pore^2)*($A58/100))*($A58/100))</f>
        <v>0.0733028265713614</v>
      </c>
      <c r="H58" s="13" t="n">
        <f aca="false">H$5*(1+A_pore*H$6*($A58/100))/(1-H$6*(1+((1-phimax_pore)/phimax_pore^2)*($A58/100))*($A58/100))</f>
        <v>1.89084915010325</v>
      </c>
      <c r="I58" s="13" t="n">
        <f aca="false">H$7*(1+A_pore*H$8*($A58/100))/(1-H$8*(1+((1-phimax_pore)/phimax_pore^2)*($A58/100))*($A58/100))</f>
        <v>0.106775610797339</v>
      </c>
      <c r="J58" s="13" t="n">
        <f aca="false">J$5*(1+A_pore*J$6*($A58/100))/(1-J$6*(1+((1-phimax_pore)/phimax_pore^2)*($A58/100))*($A58/100))</f>
        <v>1.96856842326097</v>
      </c>
      <c r="K58" s="13" t="n">
        <f aca="false">J$7*(1+A_pore*J$8*($A58/100))/(1-J$8*(1+((1-phimax_pore)/phimax_pore^2)*($A58/100))*($A58/100))</f>
        <v>0.384364702081644</v>
      </c>
    </row>
    <row r="59" customFormat="false" ht="15" hidden="false" customHeight="false" outlineLevel="0" collapsed="false">
      <c r="A59" s="4" t="n">
        <v>44</v>
      </c>
      <c r="B59" s="13" t="n">
        <f aca="false">B$5*(1+A_pore*B$6*($A59/100))/(1-B$6*(1+((1-phimax_pore)/phimax_pore^2)*($A59/100))*($A59/100))</f>
        <v>1.74931152293198</v>
      </c>
      <c r="C59" s="13" t="n">
        <f aca="false">B$7*(1+A_pore*B$8*($A59/100))/(1-B$8*(1+((1-phimax_pore)/phimax_pore^2)*($A59/100))*($A59/100))</f>
        <v>0.0502289181922929</v>
      </c>
      <c r="D59" s="13" t="n">
        <f aca="false">D$5*(1+A_pore*D$6*($A59/100))/(1-D$6*(1+((1-phimax_pore)/phimax_pore^2)*($A59/100))*($A59/100))</f>
        <v>1.77010666129121</v>
      </c>
      <c r="E59" s="13" t="n">
        <f aca="false">D$7*(1+A_pore*D$8*($A59/100))/(1-D$8*(1+((1-phimax_pore)/phimax_pore^2)*($A59/100))*($A59/100))</f>
        <v>0.0566797912870507</v>
      </c>
      <c r="F59" s="13" t="n">
        <f aca="false">F$5*(1+A_pore*F$6*($A59/100))/(1-F$6*(1+((1-phimax_pore)/phimax_pore^2)*($A59/100))*($A59/100))</f>
        <v>1.81817189890965</v>
      </c>
      <c r="G59" s="13" t="n">
        <f aca="false">F$7*(1+A_pore*F$8*($A59/100))/(1-F$8*(1+((1-phimax_pore)/phimax_pore^2)*($A59/100))*($A59/100))</f>
        <v>0.0724990406183082</v>
      </c>
      <c r="H59" s="13" t="n">
        <f aca="false">H$5*(1+A_pore*H$6*($A59/100))/(1-H$6*(1+((1-phimax_pore)/phimax_pore^2)*($A59/100))*($A59/100))</f>
        <v>1.87767288557128</v>
      </c>
      <c r="I59" s="13" t="n">
        <f aca="false">H$7*(1+A_pore*H$8*($A59/100))/(1-H$8*(1+((1-phimax_pore)/phimax_pore^2)*($A59/100))*($A59/100))</f>
        <v>0.105343253693122</v>
      </c>
      <c r="J59" s="13" t="n">
        <f aca="false">J$5*(1+A_pore*J$6*($A59/100))/(1-J$6*(1+((1-phimax_pore)/phimax_pore^2)*($A59/100))*($A59/100))</f>
        <v>1.95393288796074</v>
      </c>
      <c r="K59" s="13" t="n">
        <f aca="false">J$7*(1+A_pore*J$8*($A59/100))/(1-J$8*(1+((1-phimax_pore)/phimax_pore^2)*($A59/100))*($A59/100))</f>
        <v>0.377805361208179</v>
      </c>
    </row>
    <row r="60" customFormat="false" ht="15" hidden="false" customHeight="false" outlineLevel="0" collapsed="false">
      <c r="A60" s="4" t="n">
        <v>44.5</v>
      </c>
      <c r="B60" s="13" t="n">
        <f aca="false">B$5*(1+A_pore*B$6*($A60/100))/(1-B$6*(1+((1-phimax_pore)/phimax_pore^2)*($A60/100))*($A60/100))</f>
        <v>1.73864904305448</v>
      </c>
      <c r="C60" s="13" t="n">
        <f aca="false">B$7*(1+A_pore*B$8*($A60/100))/(1-B$8*(1+((1-phimax_pore)/phimax_pore^2)*($A60/100))*($A60/100))</f>
        <v>0.0498638990100944</v>
      </c>
      <c r="D60" s="13" t="n">
        <f aca="false">D$5*(1+A_pore*D$6*($A60/100))/(1-D$6*(1+((1-phimax_pore)/phimax_pore^2)*($A60/100))*($A60/100))</f>
        <v>1.75906738610137</v>
      </c>
      <c r="E60" s="13" t="n">
        <f aca="false">D$7*(1+A_pore*D$8*($A60/100))/(1-D$8*(1+((1-phimax_pore)/phimax_pore^2)*($A60/100))*($A60/100))</f>
        <v>0.0561917398811155</v>
      </c>
      <c r="F60" s="13" t="n">
        <f aca="false">F$5*(1+A_pore*F$6*($A60/100))/(1-F$6*(1+((1-phimax_pore)/phimax_pore^2)*($A60/100))*($A60/100))</f>
        <v>1.80625294920409</v>
      </c>
      <c r="G60" s="13" t="n">
        <f aca="false">F$7*(1+A_pore*F$8*($A60/100))/(1-F$8*(1+((1-phimax_pore)/phimax_pore^2)*($A60/100))*($A60/100))</f>
        <v>0.0717082077746953</v>
      </c>
      <c r="H60" s="13" t="n">
        <f aca="false">H$5*(1+A_pore*H$6*($A60/100))/(1-H$6*(1+((1-phimax_pore)/phimax_pore^2)*($A60/100))*($A60/100))</f>
        <v>1.86465039948849</v>
      </c>
      <c r="I60" s="13" t="n">
        <f aca="false">H$7*(1+A_pore*H$8*($A60/100))/(1-H$8*(1+((1-phimax_pore)/phimax_pore^2)*($A60/100))*($A60/100))</f>
        <v>0.103936150138233</v>
      </c>
      <c r="J60" s="13" t="n">
        <f aca="false">J$5*(1+A_pore*J$6*($A60/100))/(1-J$6*(1+((1-phimax_pore)/phimax_pore^2)*($A60/100))*($A60/100))</f>
        <v>1.93947757844343</v>
      </c>
      <c r="K60" s="13" t="n">
        <f aca="false">J$7*(1+A_pore*J$8*($A60/100))/(1-J$8*(1+((1-phimax_pore)/phimax_pore^2)*($A60/100))*($A60/100))</f>
        <v>0.371369504751156</v>
      </c>
    </row>
    <row r="61" customFormat="false" ht="15" hidden="false" customHeight="false" outlineLevel="0" collapsed="false">
      <c r="A61" s="4" t="n">
        <v>45</v>
      </c>
      <c r="B61" s="13" t="n">
        <f aca="false">B$5*(1+A_pore*B$6*($A61/100))/(1-B$6*(1+((1-phimax_pore)/phimax_pore^2)*($A61/100))*($A61/100))</f>
        <v>1.72809724651099</v>
      </c>
      <c r="C61" s="13" t="n">
        <f aca="false">B$7*(1+A_pore*B$8*($A61/100))/(1-B$8*(1+((1-phimax_pore)/phimax_pore^2)*($A61/100))*($A61/100))</f>
        <v>0.049503282748111</v>
      </c>
      <c r="D61" s="13" t="n">
        <f aca="false">D$5*(1+A_pore*D$6*($A61/100))/(1-D$6*(1+((1-phimax_pore)/phimax_pore^2)*($A61/100))*($A61/100))</f>
        <v>1.74814503790357</v>
      </c>
      <c r="E61" s="13" t="n">
        <f aca="false">D$7*(1+A_pore*D$8*($A61/100))/(1-D$8*(1+((1-phimax_pore)/phimax_pore^2)*($A61/100))*($A61/100))</f>
        <v>0.0557104039778097</v>
      </c>
      <c r="F61" s="13" t="n">
        <f aca="false">F$5*(1+A_pore*F$6*($A61/100))/(1-F$6*(1+((1-phimax_pore)/phimax_pore^2)*($A61/100))*($A61/100))</f>
        <v>1.79446583161918</v>
      </c>
      <c r="G61" s="13" t="n">
        <f aca="false">F$7*(1+A_pore*F$8*($A61/100))/(1-F$8*(1+((1-phimax_pore)/phimax_pore^2)*($A61/100))*($A61/100))</f>
        <v>0.0709300179312379</v>
      </c>
      <c r="H61" s="13" t="n">
        <f aca="false">H$5*(1+A_pore*H$6*($A61/100))/(1-H$6*(1+((1-phimax_pore)/phimax_pore^2)*($A61/100))*($A61/100))</f>
        <v>1.85177901902138</v>
      </c>
      <c r="I61" s="13" t="n">
        <f aca="false">H$7*(1+A_pore*H$8*($A61/100))/(1-H$8*(1+((1-phimax_pore)/phimax_pore^2)*($A61/100))*($A61/100))</f>
        <v>0.102553639371562</v>
      </c>
      <c r="J61" s="13" t="n">
        <f aca="false">J$5*(1+A_pore*J$6*($A61/100))/(1-J$6*(1+((1-phimax_pore)/phimax_pore^2)*($A61/100))*($A61/100))</f>
        <v>1.92519919056412</v>
      </c>
      <c r="K61" s="13" t="n">
        <f aca="false">J$7*(1+A_pore*J$8*($A61/100))/(1-J$8*(1+((1-phimax_pore)/phimax_pore^2)*($A61/100))*($A61/100))</f>
        <v>0.365053686293607</v>
      </c>
    </row>
    <row r="62" customFormat="false" ht="15" hidden="false" customHeight="false" outlineLevel="0" collapsed="false">
      <c r="A62" s="4" t="n">
        <v>45.5</v>
      </c>
      <c r="B62" s="13" t="n">
        <f aca="false">B$5*(1+A_pore*B$6*($A62/100))/(1-B$6*(1+((1-phimax_pore)/phimax_pore^2)*($A62/100))*($A62/100))</f>
        <v>1.71765442115535</v>
      </c>
      <c r="C62" s="13" t="n">
        <f aca="false">B$7*(1+A_pore*B$8*($A62/100))/(1-B$8*(1+((1-phimax_pore)/phimax_pore^2)*($A62/100))*($A62/100))</f>
        <v>0.0491469903298084</v>
      </c>
      <c r="D62" s="13" t="n">
        <f aca="false">D$5*(1+A_pore*D$6*($A62/100))/(1-D$6*(1+((1-phimax_pore)/phimax_pore^2)*($A62/100))*($A62/100))</f>
        <v>1.73733777133851</v>
      </c>
      <c r="E62" s="13" t="n">
        <f aca="false">D$7*(1+A_pore*D$8*($A62/100))/(1-D$8*(1+((1-phimax_pore)/phimax_pore^2)*($A62/100))*($A62/100))</f>
        <v>0.0552356461141508</v>
      </c>
      <c r="F62" s="13" t="n">
        <f aca="false">F$5*(1+A_pore*F$6*($A62/100))/(1-F$6*(1+((1-phimax_pore)/phimax_pore^2)*($A62/100))*($A62/100))</f>
        <v>1.78280837395395</v>
      </c>
      <c r="G62" s="13" t="n">
        <f aca="false">F$7*(1+A_pore*F$8*($A62/100))/(1-F$8*(1+((1-phimax_pore)/phimax_pore^2)*($A62/100))*($A62/100))</f>
        <v>0.0701641707992456</v>
      </c>
      <c r="H62" s="13" t="n">
        <f aca="false">H$5*(1+A_pore*H$6*($A62/100))/(1-H$6*(1+((1-phimax_pore)/phimax_pore^2)*($A62/100))*($A62/100))</f>
        <v>1.8390561329212</v>
      </c>
      <c r="I62" s="13" t="n">
        <f aca="false">H$7*(1+A_pore*H$8*($A62/100))/(1-H$8*(1+((1-phimax_pore)/phimax_pore^2)*($A62/100))*($A62/100))</f>
        <v>0.101195083484257</v>
      </c>
      <c r="J62" s="13" t="n">
        <f aca="false">J$5*(1+A_pore*J$6*($A62/100))/(1-J$6*(1+((1-phimax_pore)/phimax_pore^2)*($A62/100))*($A62/100))</f>
        <v>1.91109450045456</v>
      </c>
      <c r="K62" s="13" t="n">
        <f aca="false">J$7*(1+A_pore*J$8*($A62/100))/(1-J$8*(1+((1-phimax_pore)/phimax_pore^2)*($A62/100))*($A62/100))</f>
        <v>0.358854586486227</v>
      </c>
    </row>
    <row r="63" customFormat="false" ht="15" hidden="false" customHeight="false" outlineLevel="0" collapsed="false">
      <c r="A63" s="4" t="n">
        <v>46</v>
      </c>
      <c r="B63" s="13" t="n">
        <f aca="false">B$5*(1+A_pore*B$6*($A63/100))/(1-B$6*(1+((1-phimax_pore)/phimax_pore^2)*($A63/100))*($A63/100))</f>
        <v>1.70731888997303</v>
      </c>
      <c r="C63" s="13" t="n">
        <f aca="false">B$7*(1+A_pore*B$8*($A63/100))/(1-B$8*(1+((1-phimax_pore)/phimax_pore^2)*($A63/100))*($A63/100))</f>
        <v>0.0487949445609828</v>
      </c>
      <c r="D63" s="13" t="n">
        <f aca="false">D$5*(1+A_pore*D$6*($A63/100))/(1-D$6*(1+((1-phimax_pore)/phimax_pore^2)*($A63/100))*($A63/100))</f>
        <v>1.72664377967482</v>
      </c>
      <c r="E63" s="13" t="n">
        <f aca="false">D$7*(1+A_pore*D$8*($A63/100))/(1-D$8*(1+((1-phimax_pore)/phimax_pore^2)*($A63/100))*($A63/100))</f>
        <v>0.054767332553423</v>
      </c>
      <c r="F63" s="13" t="n">
        <f aca="false">F$5*(1+A_pore*F$6*($A63/100))/(1-F$6*(1+((1-phimax_pore)/phimax_pore^2)*($A63/100))*($A63/100))</f>
        <v>1.77127845146805</v>
      </c>
      <c r="G63" s="13" t="n">
        <f aca="false">F$7*(1+A_pore*F$8*($A63/100))/(1-F$8*(1+((1-phimax_pore)/phimax_pore^2)*($A63/100))*($A63/100))</f>
        <v>0.0694103755249258</v>
      </c>
      <c r="H63" s="13" t="n">
        <f aca="false">H$5*(1+A_pore*H$6*($A63/100))/(1-H$6*(1+((1-phimax_pore)/phimax_pore^2)*($A63/100))*($A63/100))</f>
        <v>1.82647918976036</v>
      </c>
      <c r="I63" s="13" t="n">
        <f aca="false">H$7*(1+A_pore*H$8*($A63/100))/(1-H$8*(1+((1-phimax_pore)/phimax_pore^2)*($A63/100))*($A63/100))</f>
        <v>0.0998598664402676</v>
      </c>
      <c r="J63" s="13" t="n">
        <f aca="false">J$5*(1+A_pore*J$6*($A63/100))/(1-J$6*(1+((1-phimax_pore)/phimax_pore^2)*($A63/100))*($A63/100))</f>
        <v>1.89716036209983</v>
      </c>
      <c r="K63" s="13" t="n">
        <f aca="false">J$7*(1+A_pore*J$8*($A63/100))/(1-J$8*(1+((1-phimax_pore)/phimax_pore^2)*($A63/100))*($A63/100))</f>
        <v>0.352769007244713</v>
      </c>
    </row>
    <row r="64" customFormat="false" ht="15" hidden="false" customHeight="false" outlineLevel="0" collapsed="false">
      <c r="A64" s="4" t="n">
        <v>46.5</v>
      </c>
      <c r="B64" s="13" t="n">
        <f aca="false">B$5*(1+A_pore*B$6*($A64/100))/(1-B$6*(1+((1-phimax_pore)/phimax_pore^2)*($A64/100))*($A64/100))</f>
        <v>1.69708901018469</v>
      </c>
      <c r="C64" s="13" t="n">
        <f aca="false">B$7*(1+A_pore*B$8*($A64/100))/(1-B$8*(1+((1-phimax_pore)/phimax_pore^2)*($A64/100))*($A64/100))</f>
        <v>0.0484470700740839</v>
      </c>
      <c r="D64" s="13" t="n">
        <f aca="false">D$5*(1+A_pore*D$6*($A64/100))/(1-D$6*(1+((1-phimax_pore)/phimax_pore^2)*($A64/100))*($A64/100))</f>
        <v>1.7160612938036</v>
      </c>
      <c r="E64" s="13" t="n">
        <f aca="false">D$7*(1+A_pore*D$8*($A64/100))/(1-D$8*(1+((1-phimax_pore)/phimax_pore^2)*($A64/100))*($A64/100))</f>
        <v>0.0543053331597653</v>
      </c>
      <c r="F64" s="13" t="n">
        <f aca="false">F$5*(1+A_pore*F$6*($A64/100))/(1-F$6*(1+((1-phimax_pore)/phimax_pore^2)*($A64/100))*($A64/100))</f>
        <v>1.75987398559253</v>
      </c>
      <c r="G64" s="13" t="n">
        <f aca="false">F$7*(1+A_pore*F$8*($A64/100))/(1-F$8*(1+((1-phimax_pore)/phimax_pore^2)*($A64/100))*($A64/100))</f>
        <v>0.0686683503217227</v>
      </c>
      <c r="H64" s="13" t="n">
        <f aca="false">H$5*(1+A_pore*H$6*($A64/100))/(1-H$6*(1+((1-phimax_pore)/phimax_pore^2)*($A64/100))*($A64/100))</f>
        <v>1.81404569622912</v>
      </c>
      <c r="I64" s="13" t="n">
        <f aca="false">H$7*(1+A_pore*H$8*($A64/100))/(1-H$8*(1+((1-phimax_pore)/phimax_pore^2)*($A64/100))*($A64/100))</f>
        <v>0.0985473931468374</v>
      </c>
      <c r="J64" s="13" t="n">
        <f aca="false">J$5*(1+A_pore*J$6*($A64/100))/(1-J$6*(1+((1-phimax_pore)/phimax_pore^2)*($A64/100))*($A64/100))</f>
        <v>1.8833937050024</v>
      </c>
      <c r="K64" s="13" t="n">
        <f aca="false">J$7*(1+A_pore*J$8*($A64/100))/(1-J$8*(1+((1-phimax_pore)/phimax_pore^2)*($A64/100))*($A64/100))</f>
        <v>0.346793866262193</v>
      </c>
    </row>
    <row r="65" customFormat="false" ht="15" hidden="false" customHeight="false" outlineLevel="0" collapsed="false">
      <c r="A65" s="4" t="n">
        <v>47</v>
      </c>
      <c r="B65" s="13" t="n">
        <f aca="false">B$5*(1+A_pore*B$6*($A65/100))/(1-B$6*(1+((1-phimax_pore)/phimax_pore^2)*($A65/100))*($A65/100))</f>
        <v>1.68696317237696</v>
      </c>
      <c r="C65" s="13" t="n">
        <f aca="false">B$7*(1+A_pore*B$8*($A65/100))/(1-B$8*(1+((1-phimax_pore)/phimax_pore^2)*($A65/100))*($A65/100))</f>
        <v>0.0481032932745021</v>
      </c>
      <c r="D65" s="13" t="n">
        <f aca="false">D$5*(1+A_pore*D$6*($A65/100))/(1-D$6*(1+((1-phimax_pore)/phimax_pore^2)*($A65/100))*($A65/100))</f>
        <v>1.70558858126415</v>
      </c>
      <c r="E65" s="13" t="n">
        <f aca="false">D$7*(1+A_pore*D$8*($A65/100))/(1-D$8*(1+((1-phimax_pore)/phimax_pore^2)*($A65/100))*($A65/100))</f>
        <v>0.0538495212777911</v>
      </c>
      <c r="F65" s="13" t="n">
        <f aca="false">F$5*(1+A_pore*F$6*($A65/100))/(1-F$6*(1+((1-phimax_pore)/phimax_pore^2)*($A65/100))*($A65/100))</f>
        <v>1.74859294268252</v>
      </c>
      <c r="G65" s="13" t="n">
        <f aca="false">F$7*(1+A_pore*F$8*($A65/100))/(1-F$8*(1+((1-phimax_pore)/phimax_pore^2)*($A65/100))*($A65/100))</f>
        <v>0.0679378221197159</v>
      </c>
      <c r="H65" s="13" t="n">
        <f aca="false">H$5*(1+A_pore*H$6*($A65/100))/(1-H$6*(1+((1-phimax_pore)/phimax_pore^2)*($A65/100))*($A65/100))</f>
        <v>1.80175321549021</v>
      </c>
      <c r="I65" s="13" t="n">
        <f aca="false">H$7*(1+A_pore*H$8*($A65/100))/(1-H$8*(1+((1-phimax_pore)/phimax_pore^2)*($A65/100))*($A65/100))</f>
        <v>0.0972570885719963</v>
      </c>
      <c r="J65" s="13" t="n">
        <f aca="false">J$5*(1+A_pore*J$6*($A65/100))/(1-J$6*(1+((1-phimax_pore)/phimax_pore^2)*($A65/100))*($A65/100))</f>
        <v>1.86979153192974</v>
      </c>
      <c r="K65" s="13" t="n">
        <f aca="false">J$7*(1+A_pore*J$8*($A65/100))/(1-J$8*(1+((1-phimax_pore)/phimax_pore^2)*($A65/100))*($A65/100))</f>
        <v>0.340926191816994</v>
      </c>
    </row>
    <row r="66" customFormat="false" ht="15" hidden="false" customHeight="false" outlineLevel="0" collapsed="false">
      <c r="A66" s="4" t="n">
        <v>47.5</v>
      </c>
      <c r="B66" s="13" t="n">
        <f aca="false">B$5*(1+A_pore*B$6*($A66/100))/(1-B$6*(1+((1-phimax_pore)/phimax_pore^2)*($A66/100))*($A66/100))</f>
        <v>1.67693979965965</v>
      </c>
      <c r="C66" s="13" t="n">
        <f aca="false">B$7*(1+A_pore*B$8*($A66/100))/(1-B$8*(1+((1-phimax_pore)/phimax_pore^2)*($A66/100))*($A66/100))</f>
        <v>0.0477635422887402</v>
      </c>
      <c r="D66" s="13" t="n">
        <f aca="false">D$5*(1+A_pore*D$6*($A66/100))/(1-D$6*(1+((1-phimax_pore)/phimax_pore^2)*($A66/100))*($A66/100))</f>
        <v>1.69522394529996</v>
      </c>
      <c r="E66" s="13" t="n">
        <f aca="false">D$7*(1+A_pore*D$8*($A66/100))/(1-D$8*(1+((1-phimax_pore)/phimax_pore^2)*($A66/100))*($A66/100))</f>
        <v>0.0533997736170042</v>
      </c>
      <c r="F66" s="13" t="n">
        <f aca="false">F$5*(1+A_pore*F$6*($A66/100))/(1-F$6*(1+((1-phimax_pore)/phimax_pore^2)*($A66/100))*($A66/100))</f>
        <v>1.73743333281001</v>
      </c>
      <c r="G66" s="13" t="n">
        <f aca="false">F$7*(1+A_pore*F$8*($A66/100))/(1-F$8*(1+((1-phimax_pore)/phimax_pore^2)*($A66/100))*($A66/100))</f>
        <v>0.0672185262311627</v>
      </c>
      <c r="H66" s="13" t="n">
        <f aca="false">H$5*(1+A_pore*H$6*($A66/100))/(1-H$6*(1+((1-phimax_pore)/phimax_pore^2)*($A66/100))*($A66/100))</f>
        <v>1.7895993655889</v>
      </c>
      <c r="I66" s="13" t="n">
        <f aca="false">H$7*(1+A_pore*H$8*($A66/100))/(1-H$8*(1+((1-phimax_pore)/phimax_pore^2)*($A66/100))*($A66/100))</f>
        <v>0.0959883969063047</v>
      </c>
      <c r="J66" s="13" t="n">
        <f aca="false">J$5*(1+A_pore*J$6*($A66/100))/(1-J$6*(1+((1-phimax_pore)/phimax_pore^2)*($A66/100))*($A66/100))</f>
        <v>1.85635091674201</v>
      </c>
      <c r="K66" s="13" t="n">
        <f aca="false">J$7*(1+A_pore*J$8*($A66/100))/(1-J$8*(1+((1-phimax_pore)/phimax_pore^2)*($A66/100))*($A66/100))</f>
        <v>0.335163117857329</v>
      </c>
    </row>
    <row r="67" customFormat="false" ht="15" hidden="false" customHeight="false" outlineLevel="0" collapsed="false">
      <c r="A67" s="4" t="n">
        <v>48</v>
      </c>
      <c r="B67" s="13" t="n">
        <f aca="false">B$5*(1+A_pore*B$6*($A67/100))/(1-B$6*(1+((1-phimax_pore)/phimax_pore^2)*($A67/100))*($A67/100))</f>
        <v>1.66701734684831</v>
      </c>
      <c r="C67" s="13" t="n">
        <f aca="false">B$7*(1+A_pore*B$8*($A67/100))/(1-B$8*(1+((1-phimax_pore)/phimax_pore^2)*($A67/100))*($A67/100))</f>
        <v>0.0474277469143926</v>
      </c>
      <c r="D67" s="13" t="n">
        <f aca="false">D$5*(1+A_pore*D$6*($A67/100))/(1-D$6*(1+((1-phimax_pore)/phimax_pore^2)*($A67/100))*($A67/100))</f>
        <v>1.68496572394355</v>
      </c>
      <c r="E67" s="13" t="n">
        <f aca="false">D$7*(1+A_pore*D$8*($A67/100))/(1-D$8*(1+((1-phimax_pore)/phimax_pore^2)*($A67/100))*($A67/100))</f>
        <v>0.0529559701407916</v>
      </c>
      <c r="F67" s="13" t="n">
        <f aca="false">F$5*(1+A_pore*F$6*($A67/100))/(1-F$6*(1+((1-phimax_pore)/phimax_pore^2)*($A67/100))*($A67/100))</f>
        <v>1.72639320859547</v>
      </c>
      <c r="G67" s="13" t="n">
        <f aca="false">F$7*(1+A_pore*F$8*($A67/100))/(1-F$8*(1+((1-phimax_pore)/phimax_pore^2)*($A67/100))*($A67/100))</f>
        <v>0.0665102060313217</v>
      </c>
      <c r="H67" s="13" t="n">
        <f aca="false">H$5*(1+A_pore*H$6*($A67/100))/(1-H$6*(1+((1-phimax_pore)/phimax_pore^2)*($A67/100))*($A67/100))</f>
        <v>1.77758181791665</v>
      </c>
      <c r="I67" s="13" t="n">
        <f aca="false">H$7*(1+A_pore*H$8*($A67/100))/(1-H$8*(1+((1-phimax_pore)/phimax_pore^2)*($A67/100))*($A67/100))</f>
        <v>0.0947407807662824</v>
      </c>
      <c r="J67" s="13" t="n">
        <f aca="false">J$5*(1+A_pore*J$6*($A67/100))/(1-J$6*(1+((1-phimax_pore)/phimax_pore^2)*($A67/100))*($A67/100))</f>
        <v>1.84306900229666</v>
      </c>
      <c r="K67" s="13" t="n">
        <f aca="false">J$7*(1+A_pore*J$8*($A67/100))/(1-J$8*(1+((1-phimax_pore)/phimax_pore^2)*($A67/100))*($A67/100))</f>
        <v>0.329501879345869</v>
      </c>
    </row>
    <row r="68" customFormat="false" ht="15" hidden="false" customHeight="false" outlineLevel="0" collapsed="false">
      <c r="A68" s="4" t="n">
        <v>48.5</v>
      </c>
      <c r="B68" s="13" t="n">
        <f aca="false">B$5*(1+A_pore*B$6*($A68/100))/(1-B$6*(1+((1-phimax_pore)/phimax_pore^2)*($A68/100))*($A68/100))</f>
        <v>1.65719429967138</v>
      </c>
      <c r="C68" s="13" t="n">
        <f aca="false">B$7*(1+A_pore*B$8*($A68/100))/(1-B$8*(1+((1-phimax_pore)/phimax_pore^2)*($A68/100))*($A68/100))</f>
        <v>0.0470958385718591</v>
      </c>
      <c r="D68" s="13" t="n">
        <f aca="false">D$5*(1+A_pore*D$6*($A68/100))/(1-D$6*(1+((1-phimax_pore)/phimax_pore^2)*($A68/100))*($A68/100))</f>
        <v>1.67481228912947</v>
      </c>
      <c r="E68" s="13" t="n">
        <f aca="false">D$7*(1+A_pore*D$8*($A68/100))/(1-D$8*(1+((1-phimax_pore)/phimax_pore^2)*($A68/100))*($A68/100))</f>
        <v>0.0525179939597812</v>
      </c>
      <c r="F68" s="13" t="n">
        <f aca="false">F$5*(1+A_pore*F$6*($A68/100))/(1-F$6*(1+((1-phimax_pore)/phimax_pore^2)*($A68/100))*($A68/100))</f>
        <v>1.71547066407665</v>
      </c>
      <c r="G68" s="13" t="n">
        <f aca="false">F$7*(1+A_pore*F$8*($A68/100))/(1-F$8*(1+((1-phimax_pore)/phimax_pore^2)*($A68/100))*($A68/100))</f>
        <v>0.0658126126537517</v>
      </c>
      <c r="H68" s="13" t="n">
        <f aca="false">H$5*(1+A_pore*H$6*($A68/100))/(1-H$6*(1+((1-phimax_pore)/phimax_pore^2)*($A68/100))*($A68/100))</f>
        <v>1.76569829572596</v>
      </c>
      <c r="I68" s="13" t="n">
        <f aca="false">H$7*(1+A_pore*H$8*($A68/100))/(1-H$8*(1+((1-phimax_pore)/phimax_pore^2)*($A68/100))*($A68/100))</f>
        <v>0.0935137204371229</v>
      </c>
      <c r="J68" s="13" t="n">
        <f aca="false">J$5*(1+A_pore*J$6*($A68/100))/(1-J$6*(1+((1-phimax_pore)/phimax_pore^2)*($A68/100))*($A68/100))</f>
        <v>1.82994299842673</v>
      </c>
      <c r="K68" s="13" t="n">
        <f aca="false">J$7*(1+A_pore*J$8*($A68/100))/(1-J$8*(1+((1-phimax_pore)/phimax_pore^2)*($A68/100))*($A68/100))</f>
        <v>0.323939807848268</v>
      </c>
    </row>
    <row r="69" customFormat="false" ht="15" hidden="false" customHeight="false" outlineLevel="0" collapsed="false">
      <c r="A69" s="4" t="n">
        <v>49</v>
      </c>
      <c r="B69" s="13" t="n">
        <f aca="false">B$5*(1+A_pore*B$6*($A69/100))/(1-B$6*(1+((1-phimax_pore)/phimax_pore^2)*($A69/100))*($A69/100))</f>
        <v>1.64746917400097</v>
      </c>
      <c r="C69" s="13" t="n">
        <f aca="false">B$7*(1+A_pore*B$8*($A69/100))/(1-B$8*(1+((1-phimax_pore)/phimax_pore^2)*($A69/100))*($A69/100))</f>
        <v>0.0467677502577228</v>
      </c>
      <c r="D69" s="13" t="n">
        <f aca="false">D$5*(1+A_pore*D$6*($A69/100))/(1-D$6*(1+((1-phimax_pore)/phimax_pore^2)*($A69/100))*($A69/100))</f>
        <v>1.66476204583422</v>
      </c>
      <c r="E69" s="13" t="n">
        <f aca="false">D$7*(1+A_pore*D$8*($A69/100))/(1-D$8*(1+((1-phimax_pore)/phimax_pore^2)*($A69/100))*($A69/100))</f>
        <v>0.0520857312293666</v>
      </c>
      <c r="F69" s="13" t="n">
        <f aca="false">F$5*(1+A_pore*F$6*($A69/100))/(1-F$6*(1+((1-phimax_pore)/phimax_pore^2)*($A69/100))*($A69/100))</f>
        <v>1.70466383361333</v>
      </c>
      <c r="G69" s="13" t="n">
        <f aca="false">F$7*(1+A_pore*F$8*($A69/100))/(1-F$8*(1+((1-phimax_pore)/phimax_pore^2)*($A69/100))*($A69/100))</f>
        <v>0.0651255046993241</v>
      </c>
      <c r="H69" s="13" t="n">
        <f aca="false">H$5*(1+A_pore*H$6*($A69/100))/(1-H$6*(1+((1-phimax_pore)/phimax_pore^2)*($A69/100))*($A69/100))</f>
        <v>1.7539465726946</v>
      </c>
      <c r="I69" s="13" t="n">
        <f aca="false">H$7*(1+A_pore*H$8*($A69/100))/(1-H$8*(1+((1-phimax_pore)/phimax_pore^2)*($A69/100))*($A69/100))</f>
        <v>0.0923067131524515</v>
      </c>
      <c r="J69" s="13" t="n">
        <f aca="false">J$5*(1+A_pore*J$6*($A69/100))/(1-J$6*(1+((1-phimax_pore)/phimax_pore^2)*($A69/100))*($A69/100))</f>
        <v>1.81697017998969</v>
      </c>
      <c r="K69" s="13" t="n">
        <f aca="false">J$7*(1+A_pore*J$8*($A69/100))/(1-J$8*(1+((1-phimax_pore)/phimax_pore^2)*($A69/100))*($A69/100))</f>
        <v>0.318474327350883</v>
      </c>
    </row>
    <row r="70" customFormat="false" ht="15" hidden="false" customHeight="false" outlineLevel="0" collapsed="false">
      <c r="A70" s="4" t="n">
        <v>49.5</v>
      </c>
      <c r="B70" s="13" t="n">
        <f aca="false">B$5*(1+A_pore*B$6*($A70/100))/(1-B$6*(1+((1-phimax_pore)/phimax_pore^2)*($A70/100))*($A70/100))</f>
        <v>1.63784051510649</v>
      </c>
      <c r="C70" s="13" t="n">
        <f aca="false">B$7*(1+A_pore*B$8*($A70/100))/(1-B$8*(1+((1-phimax_pore)/phimax_pore^2)*($A70/100))*($A70/100))</f>
        <v>0.0464434164997268</v>
      </c>
      <c r="D70" s="13" t="n">
        <f aca="false">D$5*(1+A_pore*D$6*($A70/100))/(1-D$6*(1+((1-phimax_pore)/phimax_pore^2)*($A70/100))*($A70/100))</f>
        <v>1.65481343124223</v>
      </c>
      <c r="E70" s="13" t="n">
        <f aca="false">D$7*(1+A_pore*D$8*($A70/100))/(1-D$8*(1+((1-phimax_pore)/phimax_pore^2)*($A70/100))*($A70/100))</f>
        <v>0.0516590710512101</v>
      </c>
      <c r="F70" s="13" t="n">
        <f aca="false">F$5*(1+A_pore*F$6*($A70/100))/(1-F$6*(1+((1-phimax_pore)/phimax_pore^2)*($A70/100))*($A70/100))</f>
        <v>1.69397089082663</v>
      </c>
      <c r="G70" s="13" t="n">
        <f aca="false">F$7*(1+A_pore*F$8*($A70/100))/(1-F$8*(1+((1-phimax_pore)/phimax_pore^2)*($A70/100))*($A70/100))</f>
        <v>0.064448647958234</v>
      </c>
      <c r="H70" s="13" t="n">
        <f aca="false">H$5*(1+A_pore*H$6*($A70/100))/(1-H$6*(1+((1-phimax_pore)/phimax_pore^2)*($A70/100))*($A70/100))</f>
        <v>1.74232447153729</v>
      </c>
      <c r="I70" s="13" t="n">
        <f aca="false">H$7*(1+A_pore*H$8*($A70/100))/(1-H$8*(1+((1-phimax_pore)/phimax_pore^2)*($A70/100))*($A70/100))</f>
        <v>0.09111927240903</v>
      </c>
      <c r="J70" s="13" t="n">
        <f aca="false">J$5*(1+A_pore*J$6*($A70/100))/(1-J$6*(1+((1-phimax_pore)/phimax_pore^2)*($A70/100))*($A70/100))</f>
        <v>1.80414788498427</v>
      </c>
      <c r="K70" s="13" t="n">
        <f aca="false">J$7*(1+A_pore*J$8*($A70/100))/(1-J$8*(1+((1-phimax_pore)/phimax_pore^2)*($A70/100))*($A70/100))</f>
        <v>0.313102950293908</v>
      </c>
    </row>
    <row r="71" customFormat="false" ht="15" hidden="false" customHeight="false" outlineLevel="0" collapsed="false">
      <c r="A71" s="4" t="n">
        <v>50</v>
      </c>
      <c r="B71" s="13" t="n">
        <f aca="false">B$5*(1+A_pore*B$6*($A71/100))/(1-B$6*(1+((1-phimax_pore)/phimax_pore^2)*($A71/100))*($A71/100))</f>
        <v>1.62830689693041</v>
      </c>
      <c r="C71" s="13" t="n">
        <f aca="false">B$7*(1+A_pore*B$8*($A71/100))/(1-B$8*(1+((1-phimax_pore)/phimax_pore^2)*($A71/100))*($A71/100))</f>
        <v>0.0461227733132852</v>
      </c>
      <c r="D71" s="13" t="n">
        <f aca="false">D$5*(1+A_pore*D$6*($A71/100))/(1-D$6*(1+((1-phimax_pore)/phimax_pore^2)*($A71/100))*($A71/100))</f>
        <v>1.64496491393698</v>
      </c>
      <c r="E71" s="13" t="n">
        <f aca="false">D$7*(1+A_pore*D$8*($A71/100))/(1-D$8*(1+((1-phimax_pore)/phimax_pore^2)*($A71/100))*($A71/100))</f>
        <v>0.0512379053785444</v>
      </c>
      <c r="F71" s="13" t="n">
        <f aca="false">F$5*(1+A_pore*F$6*($A71/100))/(1-F$6*(1+((1-phimax_pore)/phimax_pore^2)*($A71/100))*($A71/100))</f>
        <v>1.68339004757162</v>
      </c>
      <c r="G71" s="13" t="n">
        <f aca="false">F$7*(1+A_pore*F$8*($A71/100))/(1-F$8*(1+((1-phimax_pore)/phimax_pore^2)*($A71/100))*($A71/100))</f>
        <v>0.0637818151443392</v>
      </c>
      <c r="H71" s="13" t="n">
        <f aca="false">H$5*(1+A_pore*H$6*($A71/100))/(1-H$6*(1+((1-phimax_pore)/phimax_pore^2)*($A71/100))*($A71/100))</f>
        <v>1.73082986266298</v>
      </c>
      <c r="I71" s="13" t="n">
        <f aca="false">H$7*(1+A_pore*H$8*($A71/100))/(1-H$8*(1+((1-phimax_pore)/phimax_pore^2)*($A71/100))*($A71/100))</f>
        <v>0.0899509273144465</v>
      </c>
      <c r="J71" s="13" t="n">
        <f aca="false">J$5*(1+A_pore*J$6*($A71/100))/(1-J$6*(1+((1-phimax_pore)/phimax_pore^2)*($A71/100))*($A71/100))</f>
        <v>1.7914735127322</v>
      </c>
      <c r="K71" s="13" t="n">
        <f aca="false">J$7*(1+A_pore*J$8*($A71/100))/(1-J$8*(1+((1-phimax_pore)/phimax_pore^2)*($A71/100))*($A71/100))</f>
        <v>0.307823273807085</v>
      </c>
    </row>
    <row r="72" customFormat="false" ht="15" hidden="false" customHeight="false" outlineLevel="0" collapsed="false">
      <c r="A72" s="4" t="n">
        <v>50.5</v>
      </c>
      <c r="B72" s="13" t="n">
        <f aca="false">B$5*(1+A_pore*B$6*($A72/100))/(1-B$6*(1+((1-phimax_pore)/phimax_pore^2)*($A72/100))*($A72/100))</f>
        <v>1.61886692138526</v>
      </c>
      <c r="C72" s="13" t="n">
        <f aca="false">B$7*(1+A_pore*B$8*($A72/100))/(1-B$8*(1+((1-phimax_pore)/phimax_pore^2)*($A72/100))*($A72/100))</f>
        <v>0.0458057581594675</v>
      </c>
      <c r="D72" s="13" t="n">
        <f aca="false">D$5*(1+A_pore*D$6*($A72/100))/(1-D$6*(1+((1-phimax_pore)/phimax_pore^2)*($A72/100))*($A72/100))</f>
        <v>1.63521499311641</v>
      </c>
      <c r="E72" s="13" t="n">
        <f aca="false">D$7*(1+A_pore*D$8*($A72/100))/(1-D$8*(1+((1-phimax_pore)/phimax_pore^2)*($A72/100))*($A72/100))</f>
        <v>0.0508221289251039</v>
      </c>
      <c r="F72" s="13" t="n">
        <f aca="false">F$5*(1+A_pore*F$6*($A72/100))/(1-F$6*(1+((1-phimax_pore)/phimax_pore^2)*($A72/100))*($A72/100))</f>
        <v>1.67291955294201</v>
      </c>
      <c r="G72" s="13" t="n">
        <f aca="false">F$7*(1+A_pore*F$8*($A72/100))/(1-F$8*(1+((1-phimax_pore)/phimax_pore^2)*($A72/100))*($A72/100))</f>
        <v>0.0631247856411918</v>
      </c>
      <c r="H72" s="13" t="n">
        <f aca="false">H$5*(1+A_pore*H$6*($A72/100))/(1-H$6*(1+((1-phimax_pore)/phimax_pore^2)*($A72/100))*($A72/100))</f>
        <v>1.71946066287599</v>
      </c>
      <c r="I72" s="13" t="n">
        <f aca="false">H$7*(1+A_pore*H$8*($A72/100))/(1-H$8*(1+((1-phimax_pore)/phimax_pore^2)*($A72/100))*($A72/100))</f>
        <v>0.0888012219659517</v>
      </c>
      <c r="J72" s="13" t="n">
        <f aca="false">J$5*(1+A_pore*J$6*($A72/100))/(1-J$6*(1+((1-phimax_pore)/phimax_pore^2)*($A72/100))*($A72/100))</f>
        <v>1.77894452212255</v>
      </c>
      <c r="K72" s="13" t="n">
        <f aca="false">J$7*(1+A_pore*J$8*($A72/100))/(1-J$8*(1+((1-phimax_pore)/phimax_pore^2)*($A72/100))*($A72/100))</f>
        <v>0.302632976136025</v>
      </c>
    </row>
    <row r="73" customFormat="false" ht="15" hidden="false" customHeight="false" outlineLevel="0" collapsed="false">
      <c r="A73" s="4" t="n">
        <v>51</v>
      </c>
      <c r="B73" s="13" t="n">
        <f aca="false">B$5*(1+A_pore*B$6*($A73/100))/(1-B$6*(1+((1-phimax_pore)/phimax_pore^2)*($A73/100))*($A73/100))</f>
        <v>1.60951921767122</v>
      </c>
      <c r="C73" s="13" t="n">
        <f aca="false">B$7*(1+A_pore*B$8*($A73/100))/(1-B$8*(1+((1-phimax_pore)/phimax_pore^2)*($A73/100))*($A73/100))</f>
        <v>0.0454923099043999</v>
      </c>
      <c r="D73" s="13" t="n">
        <f aca="false">D$5*(1+A_pore*D$6*($A73/100))/(1-D$6*(1+((1-phimax_pore)/phimax_pore^2)*($A73/100))*($A73/100))</f>
        <v>1.62556219783169</v>
      </c>
      <c r="E73" s="13" t="n">
        <f aca="false">D$7*(1+A_pore*D$8*($A73/100))/(1-D$8*(1+((1-phimax_pore)/phimax_pore^2)*($A73/100))*($A73/100))</f>
        <v>0.0504116390775232</v>
      </c>
      <c r="F73" s="13" t="n">
        <f aca="false">F$5*(1+A_pore*F$6*($A73/100))/(1-F$6*(1+((1-phimax_pore)/phimax_pore^2)*($A73/100))*($A73/100))</f>
        <v>1.66255769230581</v>
      </c>
      <c r="G73" s="13" t="n">
        <f aca="false">F$7*(1+A_pore*F$8*($A73/100))/(1-F$8*(1+((1-phimax_pore)/phimax_pore^2)*($A73/100))*($A73/100))</f>
        <v>0.0624773452591681</v>
      </c>
      <c r="H73" s="13" t="n">
        <f aca="false">H$5*(1+A_pore*H$6*($A73/100))/(1-H$6*(1+((1-phimax_pore)/phimax_pore^2)*($A73/100))*($A73/100))</f>
        <v>1.70821483411946</v>
      </c>
      <c r="I73" s="13" t="n">
        <f aca="false">H$7*(1+A_pore*H$8*($A73/100))/(1-H$8*(1+((1-phimax_pore)/phimax_pore^2)*($A73/100))*($A73/100))</f>
        <v>0.0876697148587206</v>
      </c>
      <c r="J73" s="13" t="n">
        <f aca="false">J$5*(1+A_pore*J$6*($A73/100))/(1-J$6*(1+((1-phimax_pore)/phimax_pore^2)*($A73/100))*($A73/100))</f>
        <v>1.76655842991595</v>
      </c>
      <c r="K73" s="13" t="n">
        <f aca="false">J$7*(1+A_pore*J$8*($A73/100))/(1-J$8*(1+((1-phimax_pore)/phimax_pore^2)*($A73/100))*($A73/100))</f>
        <v>0.297529813247977</v>
      </c>
    </row>
    <row r="74" customFormat="false" ht="15" hidden="false" customHeight="false" outlineLevel="0" collapsed="false">
      <c r="A74" s="4" t="n">
        <v>51.5</v>
      </c>
      <c r="B74" s="13" t="n">
        <f aca="false">B$5*(1+A_pore*B$6*($A74/100))/(1-B$6*(1+((1-phimax_pore)/phimax_pore^2)*($A74/100))*($A74/100))</f>
        <v>1.60026244161365</v>
      </c>
      <c r="C74" s="13" t="n">
        <f aca="false">B$7*(1+A_pore*B$8*($A74/100))/(1-B$8*(1+((1-phimax_pore)/phimax_pore^2)*($A74/100))*($A74/100))</f>
        <v>0.0451823687800259</v>
      </c>
      <c r="D74" s="13" t="n">
        <f aca="false">D$5*(1+A_pore*D$6*($A74/100))/(1-D$6*(1+((1-phimax_pore)/phimax_pore^2)*($A74/100))*($A74/100))</f>
        <v>1.6160050862486</v>
      </c>
      <c r="E74" s="13" t="n">
        <f aca="false">D$7*(1+A_pore*D$8*($A74/100))/(1-D$8*(1+((1-phimax_pore)/phimax_pore^2)*($A74/100))*($A74/100))</f>
        <v>0.0500063358110517</v>
      </c>
      <c r="F74" s="13" t="n">
        <f aca="false">F$5*(1+A_pore*F$6*($A74/100))/(1-F$6*(1+((1-phimax_pore)/phimax_pore^2)*($A74/100))*($A74/100))</f>
        <v>1.65230278637081</v>
      </c>
      <c r="G74" s="13" t="n">
        <f aca="false">F$7*(1+A_pore*F$8*($A74/100))/(1-F$8*(1+((1-phimax_pore)/phimax_pore^2)*($A74/100))*($A74/100))</f>
        <v>0.0618392860031343</v>
      </c>
      <c r="H74" s="13" t="n">
        <f aca="false">H$5*(1+A_pore*H$6*($A74/100))/(1-H$6*(1+((1-phimax_pore)/phimax_pore^2)*($A74/100))*($A74/100))</f>
        <v>1.69709038225926</v>
      </c>
      <c r="I74" s="13" t="n">
        <f aca="false">H$7*(1+A_pore*H$8*($A74/100))/(1-H$8*(1+((1-phimax_pore)/phimax_pore^2)*($A74/100))*($A74/100))</f>
        <v>0.0865559783219266</v>
      </c>
      <c r="J74" s="13" t="n">
        <f aca="false">J$5*(1+A_pore*J$6*($A74/100))/(1-J$6*(1+((1-phimax_pore)/phimax_pore^2)*($A74/100))*($A74/100))</f>
        <v>1.75431280910646</v>
      </c>
      <c r="K74" s="13" t="n">
        <f aca="false">J$7*(1+A_pore*J$8*($A74/100))/(1-J$8*(1+((1-phimax_pore)/phimax_pore^2)*($A74/100))*($A74/100))</f>
        <v>0.292511615606618</v>
      </c>
    </row>
    <row r="75" customFormat="false" ht="15" hidden="false" customHeight="false" outlineLevel="0" collapsed="false">
      <c r="A75" s="4" t="n">
        <v>52</v>
      </c>
      <c r="B75" s="13" t="n">
        <f aca="false">B$5*(1+A_pore*B$6*($A75/100))/(1-B$6*(1+((1-phimax_pore)/phimax_pore^2)*($A75/100))*($A75/100))</f>
        <v>1.59109527501974</v>
      </c>
      <c r="C75" s="13" t="n">
        <f aca="false">B$7*(1+A_pore*B$8*($A75/100))/(1-B$8*(1+((1-phimax_pore)/phimax_pore^2)*($A75/100))*($A75/100))</f>
        <v>0.0448758763461762</v>
      </c>
      <c r="D75" s="13" t="n">
        <f aca="false">D$5*(1+A_pore*D$6*($A75/100))/(1-D$6*(1+((1-phimax_pore)/phimax_pore^2)*($A75/100))*($A75/100))</f>
        <v>1.60654224493077</v>
      </c>
      <c r="E75" s="13" t="n">
        <f aca="false">D$7*(1+A_pore*D$8*($A75/100))/(1-D$8*(1+((1-phimax_pore)/phimax_pore^2)*($A75/100))*($A75/100))</f>
        <v>0.0496061216084362</v>
      </c>
      <c r="F75" s="13" t="n">
        <f aca="false">F$5*(1+A_pore*F$6*($A75/100))/(1-F$6*(1+((1-phimax_pore)/phimax_pore^2)*($A75/100))*($A75/100))</f>
        <v>1.6421531902787</v>
      </c>
      <c r="G75" s="13" t="n">
        <f aca="false">F$7*(1+A_pore*F$8*($A75/100))/(1-F$8*(1+((1-phimax_pore)/phimax_pore^2)*($A75/100))*($A75/100))</f>
        <v>0.0612104058501184</v>
      </c>
      <c r="H75" s="13" t="n">
        <f aca="false">H$5*(1+A_pore*H$6*($A75/100))/(1-H$6*(1+((1-phimax_pore)/phimax_pore^2)*($A75/100))*($A75/100))</f>
        <v>1.68608535590716</v>
      </c>
      <c r="I75" s="13" t="n">
        <f aca="false">H$7*(1+A_pore*H$8*($A75/100))/(1-H$8*(1+((1-phimax_pore)/phimax_pore^2)*($A75/100))*($A75/100))</f>
        <v>0.0854595979811144</v>
      </c>
      <c r="J75" s="13" t="n">
        <f aca="false">J$5*(1+A_pore*J$6*($A75/100))/(1-J$6*(1+((1-phimax_pore)/phimax_pore^2)*($A75/100))*($A75/100))</f>
        <v>1.74220528733876</v>
      </c>
      <c r="K75" s="13" t="n">
        <f aca="false">J$7*(1+A_pore*J$8*($A75/100))/(1-J$8*(1+((1-phimax_pore)/phimax_pore^2)*($A75/100))*($A75/100))</f>
        <v>0.287576285106124</v>
      </c>
    </row>
    <row r="76" customFormat="false" ht="15" hidden="false" customHeight="false" outlineLevel="0" collapsed="false">
      <c r="A76" s="4" t="n">
        <v>52.5</v>
      </c>
      <c r="B76" s="13" t="n">
        <f aca="false">B$5*(1+A_pore*B$6*($A76/100))/(1-B$6*(1+((1-phimax_pore)/phimax_pore^2)*($A76/100))*($A76/100))</f>
        <v>1.58201642505379</v>
      </c>
      <c r="C76" s="13" t="n">
        <f aca="false">B$7*(1+A_pore*B$8*($A76/100))/(1-B$8*(1+((1-phimax_pore)/phimax_pore^2)*($A76/100))*($A76/100))</f>
        <v>0.0445727754538938</v>
      </c>
      <c r="D76" s="13" t="n">
        <f aca="false">D$5*(1+A_pore*D$6*($A76/100))/(1-D$6*(1+((1-phimax_pore)/phimax_pore^2)*($A76/100))*($A76/100))</f>
        <v>1.59717228814393</v>
      </c>
      <c r="E76" s="13" t="n">
        <f aca="false">D$7*(1+A_pore*D$8*($A76/100))/(1-D$8*(1+((1-phimax_pore)/phimax_pore^2)*($A76/100))*($A76/100))</f>
        <v>0.0492109013818358</v>
      </c>
      <c r="F76" s="13" t="n">
        <f aca="false">F$5*(1+A_pore*F$6*($A76/100))/(1-F$6*(1+((1-phimax_pore)/phimax_pore^2)*($A76/100))*($A76/100))</f>
        <v>1.63210729272705</v>
      </c>
      <c r="G76" s="13" t="n">
        <f aca="false">F$7*(1+A_pore*F$8*($A76/100))/(1-F$8*(1+((1-phimax_pore)/phimax_pore^2)*($A76/100))*($A76/100))</f>
        <v>0.0605905085364897</v>
      </c>
      <c r="H76" s="13" t="n">
        <f aca="false">H$5*(1+A_pore*H$6*($A76/100))/(1-H$6*(1+((1-phimax_pore)/phimax_pore^2)*($A76/100))*($A76/100))</f>
        <v>1.67519784528152</v>
      </c>
      <c r="I76" s="13" t="n">
        <f aca="false">H$7*(1+A_pore*H$8*($A76/100))/(1-H$8*(1+((1-phimax_pore)/phimax_pore^2)*($A76/100))*($A76/100))</f>
        <v>0.0843801722454519</v>
      </c>
      <c r="J76" s="13" t="n">
        <f aca="false">J$5*(1+A_pore*J$6*($A76/100))/(1-J$6*(1+((1-phimax_pore)/phimax_pore^2)*($A76/100))*($A76/100))</f>
        <v>1.73023354537852</v>
      </c>
      <c r="K76" s="13" t="n">
        <f aca="false">J$7*(1+A_pore*J$8*($A76/100))/(1-J$8*(1+((1-phimax_pore)/phimax_pore^2)*($A76/100))*($A76/100))</f>
        <v>0.282721792155417</v>
      </c>
    </row>
    <row r="77" customFormat="false" ht="15" hidden="false" customHeight="false" outlineLevel="0" collapsed="false">
      <c r="A77" s="4" t="n">
        <v>53</v>
      </c>
      <c r="B77" s="13" t="n">
        <f aca="false">B$5*(1+A_pore*B$6*($A77/100))/(1-B$6*(1+((1-phimax_pore)/phimax_pore^2)*($A77/100))*($A77/100))</f>
        <v>1.57302462363042</v>
      </c>
      <c r="C77" s="13" t="n">
        <f aca="false">B$7*(1+A_pore*B$8*($A77/100))/(1-B$8*(1+((1-phimax_pore)/phimax_pore^2)*($A77/100))*($A77/100))</f>
        <v>0.0442730102099695</v>
      </c>
      <c r="D77" s="13" t="n">
        <f aca="false">D$5*(1+A_pore*D$6*($A77/100))/(1-D$6*(1+((1-phimax_pore)/phimax_pore^2)*($A77/100))*($A77/100))</f>
        <v>1.58789385718057</v>
      </c>
      <c r="E77" s="13" t="n">
        <f aca="false">D$7*(1+A_pore*D$8*($A77/100))/(1-D$8*(1+((1-phimax_pore)/phimax_pore^2)*($A77/100))*($A77/100))</f>
        <v>0.0488205823976363</v>
      </c>
      <c r="F77" s="13" t="n">
        <f aca="false">F$5*(1+A_pore*F$6*($A77/100))/(1-F$6*(1+((1-phimax_pore)/phimax_pore^2)*($A77/100))*($A77/100))</f>
        <v>1.62216351511795</v>
      </c>
      <c r="G77" s="13" t="n">
        <f aca="false">F$7*(1+A_pore*F$8*($A77/100))/(1-F$8*(1+((1-phimax_pore)/phimax_pore^2)*($A77/100))*($A77/100))</f>
        <v>0.0599794033541746</v>
      </c>
      <c r="H77" s="13" t="n">
        <f aca="false">H$5*(1+A_pore*H$6*($A77/100))/(1-H$6*(1+((1-phimax_pore)/phimax_pore^2)*($A77/100))*($A77/100))</f>
        <v>1.6644259811043</v>
      </c>
      <c r="I77" s="13" t="n">
        <f aca="false">H$7*(1+A_pore*H$8*($A77/100))/(1-H$8*(1+((1-phimax_pore)/phimax_pore^2)*($A77/100))*($A77/100))</f>
        <v>0.0833173118185281</v>
      </c>
      <c r="J77" s="13" t="n">
        <f aca="false">J$5*(1+A_pore*J$6*($A77/100))/(1-J$6*(1+((1-phimax_pore)/phimax_pore^2)*($A77/100))*($A77/100))</f>
        <v>1.7183953156338</v>
      </c>
      <c r="K77" s="13" t="n">
        <f aca="false">J$7*(1+A_pore*J$8*($A77/100))/(1-J$8*(1+((1-phimax_pore)/phimax_pore^2)*($A77/100))*($A77/100))</f>
        <v>0.277946172904083</v>
      </c>
    </row>
    <row r="78" customFormat="false" ht="15" hidden="false" customHeight="false" outlineLevel="0" collapsed="false">
      <c r="A78" s="4" t="n">
        <v>53.5</v>
      </c>
      <c r="B78" s="13" t="n">
        <f aca="false">B$5*(1+A_pore*B$6*($A78/100))/(1-B$6*(1+((1-phimax_pore)/phimax_pore^2)*($A78/100))*($A78/100))</f>
        <v>1.56411862682508</v>
      </c>
      <c r="C78" s="13" t="n">
        <f aca="false">B$7*(1+A_pore*B$8*($A78/100))/(1-B$8*(1+((1-phimax_pore)/phimax_pore^2)*($A78/100))*($A78/100))</f>
        <v>0.0439765259426393</v>
      </c>
      <c r="D78" s="13" t="n">
        <f aca="false">D$5*(1+A_pore*D$6*($A78/100))/(1-D$6*(1+((1-phimax_pore)/phimax_pore^2)*($A78/100))*($A78/100))</f>
        <v>1.57870561970424</v>
      </c>
      <c r="E78" s="13" t="n">
        <f aca="false">D$7*(1+A_pore*D$8*($A78/100))/(1-D$8*(1+((1-phimax_pore)/phimax_pore^2)*($A78/100))*($A78/100))</f>
        <v>0.0484350742040393</v>
      </c>
      <c r="F78" s="13" t="n">
        <f aca="false">F$5*(1+A_pore*F$6*($A78/100))/(1-F$6*(1+((1-phimax_pore)/phimax_pore^2)*($A78/100))*($A78/100))</f>
        <v>1.61232031073241</v>
      </c>
      <c r="G78" s="13" t="n">
        <f aca="false">F$7*(1+A_pore*F$8*($A78/100))/(1-F$8*(1+((1-phimax_pore)/phimax_pore^2)*($A78/100))*($A78/100))</f>
        <v>0.0593769049554644</v>
      </c>
      <c r="H78" s="13" t="n">
        <f aca="false">H$5*(1+A_pore*H$6*($A78/100))/(1-H$6*(1+((1-phimax_pore)/phimax_pore^2)*($A78/100))*($A78/100))</f>
        <v>1.65376793353298</v>
      </c>
      <c r="I78" s="13" t="n">
        <f aca="false">H$7*(1+A_pore*H$8*($A78/100))/(1-H$8*(1+((1-phimax_pore)/phimax_pore^2)*($A78/100))*($A78/100))</f>
        <v>0.0822706392314453</v>
      </c>
      <c r="J78" s="13" t="n">
        <f aca="false">J$5*(1+A_pore*J$6*($A78/100))/(1-J$6*(1+((1-phimax_pore)/phimax_pore^2)*($A78/100))*($A78/100))</f>
        <v>1.70668838072565</v>
      </c>
      <c r="K78" s="13" t="n">
        <f aca="false">J$7*(1+A_pore*J$8*($A78/100))/(1-J$8*(1+((1-phimax_pore)/phimax_pore^2)*($A78/100))*($A78/100))</f>
        <v>0.273247526601989</v>
      </c>
    </row>
    <row r="79" customFormat="false" ht="15" hidden="false" customHeight="false" outlineLevel="0" collapsed="false">
      <c r="A79" s="4" t="n">
        <v>54</v>
      </c>
      <c r="B79" s="13" t="n">
        <f aca="false">B$5*(1+A_pore*B$6*($A79/100))/(1-B$6*(1+((1-phimax_pore)/phimax_pore^2)*($A79/100))*($A79/100))</f>
        <v>1.55529721430138</v>
      </c>
      <c r="C79" s="13" t="n">
        <f aca="false">B$7*(1+A_pore*B$8*($A79/100))/(1-B$8*(1+((1-phimax_pore)/phimax_pore^2)*($A79/100))*($A79/100))</f>
        <v>0.0436832691683996</v>
      </c>
      <c r="D79" s="13" t="n">
        <f aca="false">D$5*(1+A_pore*D$6*($A79/100))/(1-D$6*(1+((1-phimax_pore)/phimax_pore^2)*($A79/100))*($A79/100))</f>
        <v>1.56960626911286</v>
      </c>
      <c r="E79" s="13" t="n">
        <f aca="false">D$7*(1+A_pore*D$8*($A79/100))/(1-D$8*(1+((1-phimax_pore)/phimax_pore^2)*($A79/100))*($A79/100))</f>
        <v>0.0480542885613087</v>
      </c>
      <c r="F79" s="13" t="n">
        <f aca="false">F$5*(1+A_pore*F$6*($A79/100))/(1-F$6*(1+((1-phimax_pore)/phimax_pore^2)*($A79/100))*($A79/100))</f>
        <v>1.60257616392973</v>
      </c>
      <c r="G79" s="13" t="n">
        <f aca="false">F$7*(1+A_pore*F$8*($A79/100))/(1-F$8*(1+((1-phimax_pore)/phimax_pore^2)*($A79/100))*($A79/100))</f>
        <v>0.0587828331659947</v>
      </c>
      <c r="H79" s="13" t="n">
        <f aca="false">H$5*(1+A_pore*H$6*($A79/100))/(1-H$6*(1+((1-phimax_pore)/phimax_pore^2)*($A79/100))*($A79/100))</f>
        <v>1.64322191112598</v>
      </c>
      <c r="I79" s="13" t="n">
        <f aca="false">H$7*(1+A_pore*H$8*($A79/100))/(1-H$8*(1+((1-phimax_pore)/phimax_pore^2)*($A79/100))*($A79/100))</f>
        <v>0.0812397883970294</v>
      </c>
      <c r="J79" s="13" t="n">
        <f aca="false">J$5*(1+A_pore*J$6*($A79/100))/(1-J$6*(1+((1-phimax_pore)/phimax_pore^2)*($A79/100))*($A79/100))</f>
        <v>1.69511057210587</v>
      </c>
      <c r="K79" s="13" t="n">
        <f aca="false">J$7*(1+A_pore*J$8*($A79/100))/(1-J$8*(1+((1-phimax_pore)/phimax_pore^2)*($A79/100))*($A79/100))</f>
        <v>0.268624013085144</v>
      </c>
    </row>
    <row r="80" customFormat="false" ht="15" hidden="false" customHeight="false" outlineLevel="0" collapsed="false">
      <c r="A80" s="4" t="n">
        <v>54.5</v>
      </c>
      <c r="B80" s="13" t="n">
        <f aca="false">B$5*(1+A_pore*B$6*($A80/100))/(1-B$6*(1+((1-phimax_pore)/phimax_pore^2)*($A80/100))*($A80/100))</f>
        <v>1.54655918875461</v>
      </c>
      <c r="C80" s="13" t="n">
        <f aca="false">B$7*(1+A_pore*B$8*($A80/100))/(1-B$8*(1+((1-phimax_pore)/phimax_pore^2)*($A80/100))*($A80/100))</f>
        <v>0.0433931875598993</v>
      </c>
      <c r="D80" s="13" t="n">
        <f aca="false">D$5*(1+A_pore*D$6*($A80/100))/(1-D$6*(1+((1-phimax_pore)/phimax_pore^2)*($A80/100))*($A80/100))</f>
        <v>1.56059452392031</v>
      </c>
      <c r="E80" s="13" t="n">
        <f aca="false">D$7*(1+A_pore*D$8*($A80/100))/(1-D$8*(1+((1-phimax_pore)/phimax_pore^2)*($A80/100))*($A80/100))</f>
        <v>0.047678139374559</v>
      </c>
      <c r="F80" s="13" t="n">
        <f aca="false">F$5*(1+A_pore*F$6*($A80/100))/(1-F$6*(1+((1-phimax_pore)/phimax_pore^2)*($A80/100))*($A80/100))</f>
        <v>1.59292958937078</v>
      </c>
      <c r="G80" s="13" t="n">
        <f aca="false">F$7*(1+A_pore*F$8*($A80/100))/(1-F$8*(1+((1-phimax_pore)/phimax_pore^2)*($A80/100))*($A80/100))</f>
        <v>0.0581970128055014</v>
      </c>
      <c r="H80" s="13" t="n">
        <f aca="false">H$5*(1+A_pore*H$6*($A80/100))/(1-H$6*(1+((1-phimax_pore)/phimax_pore^2)*($A80/100))*($A80/100))</f>
        <v>1.63278615984065</v>
      </c>
      <c r="I80" s="13" t="n">
        <f aca="false">H$7*(1+A_pore*H$8*($A80/100))/(1-H$8*(1+((1-phimax_pore)/phimax_pore^2)*($A80/100))*($A80/100))</f>
        <v>0.0802244041840514</v>
      </c>
      <c r="J80" s="13" t="n">
        <f aca="false">J$5*(1+A_pore*J$6*($A80/100))/(1-J$6*(1+((1-phimax_pore)/phimax_pore^2)*($A80/100))*($A80/100))</f>
        <v>1.68365976872018</v>
      </c>
      <c r="K80" s="13" t="n">
        <f aca="false">J$7*(1+A_pore*J$8*($A80/100))/(1-J$8*(1+((1-phimax_pore)/phimax_pore^2)*($A80/100))*($A80/100))</f>
        <v>0.264073850380811</v>
      </c>
    </row>
    <row r="81" customFormat="false" ht="15" hidden="false" customHeight="false" outlineLevel="0" collapsed="false">
      <c r="A81" s="4" t="n">
        <v>55</v>
      </c>
      <c r="B81" s="13" t="n">
        <f aca="false">B$5*(1+A_pore*B$6*($A81/100))/(1-B$6*(1+((1-phimax_pore)/phimax_pore^2)*($A81/100))*($A81/100))</f>
        <v>1.53790337537092</v>
      </c>
      <c r="C81" s="13" t="n">
        <f aca="false">B$7*(1+A_pore*B$8*($A81/100))/(1-B$8*(1+((1-phimax_pore)/phimax_pore^2)*($A81/100))*($A81/100))</f>
        <v>0.0431062299148672</v>
      </c>
      <c r="D81" s="13" t="n">
        <f aca="false">D$5*(1+A_pore*D$6*($A81/100))/(1-D$6*(1+((1-phimax_pore)/phimax_pore^2)*($A81/100))*($A81/100))</f>
        <v>1.55166912715593</v>
      </c>
      <c r="E81" s="13" t="n">
        <f aca="false">D$7*(1+A_pore*D$8*($A81/100))/(1-D$8*(1+((1-phimax_pore)/phimax_pore^2)*($A81/100))*($A81/100))</f>
        <v>0.0473065426289806</v>
      </c>
      <c r="F81" s="13" t="n">
        <f aca="false">F$5*(1+A_pore*F$6*($A81/100))/(1-F$6*(1+((1-phimax_pore)/phimax_pore^2)*($A81/100))*($A81/100))</f>
        <v>1.58337913126456</v>
      </c>
      <c r="G81" s="13" t="n">
        <f aca="false">F$7*(1+A_pore*F$8*($A81/100))/(1-F$8*(1+((1-phimax_pore)/phimax_pore^2)*($A81/100))*($A81/100))</f>
        <v>0.0576192735159772</v>
      </c>
      <c r="H81" s="13" t="n">
        <f aca="false">H$5*(1+A_pore*H$6*($A81/100))/(1-H$6*(1+((1-phimax_pore)/phimax_pore^2)*($A81/100))*($A81/100))</f>
        <v>1.62245896206237</v>
      </c>
      <c r="I81" s="13" t="n">
        <f aca="false">H$7*(1+A_pore*H$8*($A81/100))/(1-H$8*(1+((1-phimax_pore)/phimax_pore^2)*($A81/100))*($A81/100))</f>
        <v>0.0792241420104212</v>
      </c>
      <c r="J81" s="13" t="n">
        <f aca="false">J$5*(1+A_pore*J$6*($A81/100))/(1-J$6*(1+((1-phimax_pore)/phimax_pore^2)*($A81/100))*($A81/100))</f>
        <v>1.67233389571507</v>
      </c>
      <c r="K81" s="13" t="n">
        <f aca="false">J$7*(1+A_pore*J$8*($A81/100))/(1-J$8*(1+((1-phimax_pore)/phimax_pore^2)*($A81/100))*($A81/100))</f>
        <v>0.259595312425338</v>
      </c>
    </row>
    <row r="82" customFormat="false" ht="15" hidden="false" customHeight="false" outlineLevel="0" collapsed="false">
      <c r="A82" s="4" t="n">
        <v>55.5</v>
      </c>
      <c r="B82" s="13" t="n">
        <f aca="false">B$5*(1+A_pore*B$6*($A82/100))/(1-B$6*(1+((1-phimax_pore)/phimax_pore^2)*($A82/100))*($A82/100))</f>
        <v>1.52932862130171</v>
      </c>
      <c r="C82" s="13" t="n">
        <f aca="false">B$7*(1+A_pore*B$8*($A82/100))/(1-B$8*(1+((1-phimax_pore)/phimax_pore^2)*($A82/100))*($A82/100))</f>
        <v>0.0428223461260357</v>
      </c>
      <c r="D82" s="13" t="n">
        <f aca="false">D$5*(1+A_pore*D$6*($A82/100))/(1-D$6*(1+((1-phimax_pore)/phimax_pore^2)*($A82/100))*($A82/100))</f>
        <v>1.54282884578099</v>
      </c>
      <c r="E82" s="13" t="n">
        <f aca="false">D$7*(1+A_pore*D$8*($A82/100))/(1-D$8*(1+((1-phimax_pore)/phimax_pore^2)*($A82/100))*($A82/100))</f>
        <v>0.0469394163273974</v>
      </c>
      <c r="F82" s="13" t="n">
        <f aca="false">F$5*(1+A_pore*F$6*($A82/100))/(1-F$6*(1+((1-phimax_pore)/phimax_pore^2)*($A82/100))*($A82/100))</f>
        <v>1.57392336263702</v>
      </c>
      <c r="G82" s="13" t="n">
        <f aca="false">F$7*(1+A_pore*F$8*($A82/100))/(1-F$8*(1+((1-phimax_pore)/phimax_pore^2)*($A82/100))*($A82/100))</f>
        <v>0.0570494495968759</v>
      </c>
      <c r="H82" s="13" t="n">
        <f aca="false">H$5*(1+A_pore*H$6*($A82/100))/(1-H$6*(1+((1-phimax_pore)/phimax_pore^2)*($A82/100))*($A82/100))</f>
        <v>1.61223863566375</v>
      </c>
      <c r="I82" s="13" t="n">
        <f aca="false">H$7*(1+A_pore*H$8*($A82/100))/(1-H$8*(1+((1-phimax_pore)/phimax_pore^2)*($A82/100))*($A82/100))</f>
        <v>0.0782386674543735</v>
      </c>
      <c r="J82" s="13" t="n">
        <f aca="false">J$5*(1+A_pore*J$6*($A82/100))/(1-J$6*(1+((1-phimax_pore)/phimax_pore^2)*($A82/100))*($A82/100))</f>
        <v>1.66113092318674</v>
      </c>
      <c r="K82" s="13" t="n">
        <f aca="false">J$7*(1+A_pore*J$8*($A82/100))/(1-J$8*(1+((1-phimax_pore)/phimax_pore^2)*($A82/100))*($A82/100))</f>
        <v>0.255186726888544</v>
      </c>
    </row>
    <row r="83" customFormat="false" ht="15" hidden="false" customHeight="false" outlineLevel="0" collapsed="false">
      <c r="A83" s="4" t="n">
        <v>56</v>
      </c>
      <c r="B83" s="13" t="n">
        <f aca="false">B$5*(1+A_pore*B$6*($A83/100))/(1-B$6*(1+((1-phimax_pore)/phimax_pore^2)*($A83/100))*($A83/100))</f>
        <v>1.52083379515264</v>
      </c>
      <c r="C83" s="13" t="n">
        <f aca="false">B$7*(1+A_pore*B$8*($A83/100))/(1-B$8*(1+((1-phimax_pore)/phimax_pore^2)*($A83/100))*($A83/100))</f>
        <v>0.0425414871520245</v>
      </c>
      <c r="D83" s="13" t="n">
        <f aca="false">D$5*(1+A_pore*D$6*($A83/100))/(1-D$6*(1+((1-phimax_pore)/phimax_pore^2)*($A83/100))*($A83/100))</f>
        <v>1.53407247012185</v>
      </c>
      <c r="E83" s="13" t="n">
        <f aca="false">D$7*(1+A_pore*D$8*($A83/100))/(1-D$8*(1+((1-phimax_pore)/phimax_pore^2)*($A83/100))*($A83/100))</f>
        <v>0.0465766804300617</v>
      </c>
      <c r="F83" s="13" t="n">
        <f aca="false">F$5*(1+A_pore*F$6*($A83/100))/(1-F$6*(1+((1-phimax_pore)/phimax_pore^2)*($A83/100))*($A83/100))</f>
        <v>1.56456088462162</v>
      </c>
      <c r="G83" s="13" t="n">
        <f aca="false">F$7*(1+A_pore*F$8*($A83/100))/(1-F$8*(1+((1-phimax_pore)/phimax_pore^2)*($A83/100))*($A83/100))</f>
        <v>0.0564873798470278</v>
      </c>
      <c r="H83" s="13" t="n">
        <f aca="false">H$5*(1+A_pore*H$6*($A83/100))/(1-H$6*(1+((1-phimax_pore)/phimax_pore^2)*($A83/100))*($A83/100))</f>
        <v>1.60212353309284</v>
      </c>
      <c r="I83" s="13" t="n">
        <f aca="false">H$7*(1+A_pore*H$8*($A83/100))/(1-H$8*(1+((1-phimax_pore)/phimax_pore^2)*($A83/100))*($A83/100))</f>
        <v>0.0772676558827245</v>
      </c>
      <c r="J83" s="13" t="n">
        <f aca="false">J$5*(1+A_pore*J$6*($A83/100))/(1-J$6*(1+((1-phimax_pore)/phimax_pore^2)*($A83/100))*($A83/100))</f>
        <v>1.65004886497033</v>
      </c>
      <c r="K83" s="13" t="n">
        <f aca="false">J$7*(1+A_pore*J$8*($A83/100))/(1-J$8*(1+((1-phimax_pore)/phimax_pore^2)*($A83/100))*($A83/100))</f>
        <v>0.250846473098926</v>
      </c>
    </row>
    <row r="84" customFormat="false" ht="15" hidden="false" customHeight="false" outlineLevel="0" collapsed="false">
      <c r="A84" s="4" t="n">
        <v>56.5</v>
      </c>
      <c r="B84" s="13" t="n">
        <f aca="false">B$5*(1+A_pore*B$6*($A84/100))/(1-B$6*(1+((1-phimax_pore)/phimax_pore^2)*($A84/100))*($A84/100))</f>
        <v>1.51241778648692</v>
      </c>
      <c r="C84" s="13" t="n">
        <f aca="false">B$7*(1+A_pore*B$8*($A84/100))/(1-B$8*(1+((1-phimax_pore)/phimax_pore^2)*($A84/100))*($A84/100))</f>
        <v>0.0422636049891488</v>
      </c>
      <c r="D84" s="13" t="n">
        <f aca="false">D$5*(1+A_pore*D$6*($A84/100))/(1-D$6*(1+((1-phimax_pore)/phimax_pore^2)*($A84/100))*($A84/100))</f>
        <v>1.52539881331917</v>
      </c>
      <c r="E84" s="13" t="n">
        <f aca="false">D$7*(1+A_pore*D$8*($A84/100))/(1-D$8*(1+((1-phimax_pore)/phimax_pore^2)*($A84/100))*($A84/100))</f>
        <v>0.0462182567965905</v>
      </c>
      <c r="F84" s="13" t="n">
        <f aca="false">F$5*(1+A_pore*F$6*($A84/100))/(1-F$6*(1+((1-phimax_pore)/phimax_pore^2)*($A84/100))*($A84/100))</f>
        <v>1.55529032577057</v>
      </c>
      <c r="G84" s="13" t="n">
        <f aca="false">F$7*(1+A_pore*F$8*($A84/100))/(1-F$8*(1+((1-phimax_pore)/phimax_pore^2)*($A84/100))*($A84/100))</f>
        <v>0.055932907412952</v>
      </c>
      <c r="H84" s="13" t="n">
        <f aca="false">H$5*(1+A_pore*H$6*($A84/100))/(1-H$6*(1+((1-phimax_pore)/phimax_pore^2)*($A84/100))*($A84/100))</f>
        <v>1.59211204048934</v>
      </c>
      <c r="I84" s="13" t="n">
        <f aca="false">H$7*(1+A_pore*H$8*($A84/100))/(1-H$8*(1+((1-phimax_pore)/phimax_pore^2)*($A84/100))*($A84/100))</f>
        <v>0.0763107920953326</v>
      </c>
      <c r="J84" s="13" t="n">
        <f aca="false">J$5*(1+A_pore*J$6*($A84/100))/(1-J$6*(1+((1-phimax_pore)/phimax_pore^2)*($A84/100))*($A84/100))</f>
        <v>1.63908577746824</v>
      </c>
      <c r="K84" s="13" t="n">
        <f aca="false">J$7*(1+A_pore*J$8*($A84/100))/(1-J$8*(1+((1-phimax_pore)/phimax_pore^2)*($A84/100))*($A84/100))</f>
        <v>0.246572980064255</v>
      </c>
    </row>
    <row r="85" customFormat="false" ht="15" hidden="false" customHeight="false" outlineLevel="0" collapsed="false">
      <c r="A85" s="4" t="n">
        <v>57</v>
      </c>
      <c r="B85" s="13" t="n">
        <f aca="false">B$5*(1+A_pore*B$6*($A85/100))/(1-B$6*(1+((1-phimax_pore)/phimax_pore^2)*($A85/100))*($A85/100))</f>
        <v>1.50407950534221</v>
      </c>
      <c r="C85" s="13" t="n">
        <f aca="false">B$7*(1+A_pore*B$8*($A85/100))/(1-B$8*(1+((1-phimax_pore)/phimax_pore^2)*($A85/100))*($A85/100))</f>
        <v>0.0419886526441168</v>
      </c>
      <c r="D85" s="13" t="n">
        <f aca="false">D$5*(1+A_pore*D$6*($A85/100))/(1-D$6*(1+((1-phimax_pore)/phimax_pore^2)*($A85/100))*($A85/100))</f>
        <v>1.51680671079251</v>
      </c>
      <c r="E85" s="13" t="n">
        <f aca="false">D$7*(1+A_pore*D$8*($A85/100))/(1-D$8*(1+((1-phimax_pore)/phimax_pore^2)*($A85/100))*($A85/100))</f>
        <v>0.0458640691299578</v>
      </c>
      <c r="F85" s="13" t="n">
        <f aca="false">F$5*(1+A_pore*F$6*($A85/100))/(1-F$6*(1+((1-phimax_pore)/phimax_pore^2)*($A85/100))*($A85/100))</f>
        <v>1.54611034138642</v>
      </c>
      <c r="G85" s="13" t="n">
        <f aca="false">F$7*(1+A_pore*F$8*($A85/100))/(1-F$8*(1+((1-phimax_pore)/phimax_pore^2)*($A85/100))*($A85/100))</f>
        <v>0.0553858796432629</v>
      </c>
      <c r="H85" s="13" t="n">
        <f aca="false">H$5*(1+A_pore*H$6*($A85/100))/(1-H$6*(1+((1-phimax_pore)/phimax_pore^2)*($A85/100))*($A85/100))</f>
        <v>1.58220257682774</v>
      </c>
      <c r="I85" s="13" t="n">
        <f aca="false">H$7*(1+A_pore*H$8*($A85/100))/(1-H$8*(1+((1-phimax_pore)/phimax_pore^2)*($A85/100))*($A85/100))</f>
        <v>0.0753677699849422</v>
      </c>
      <c r="J85" s="13" t="n">
        <f aca="false">J$5*(1+A_pore*J$6*($A85/100))/(1-J$6*(1+((1-phimax_pore)/phimax_pore^2)*($A85/100))*($A85/100))</f>
        <v>1.6282397585158</v>
      </c>
      <c r="K85" s="13" t="n">
        <f aca="false">J$7*(1+A_pore*J$8*($A85/100))/(1-J$8*(1+((1-phimax_pore)/phimax_pore^2)*($A85/100))*($A85/100))</f>
        <v>0.242364724582499</v>
      </c>
    </row>
    <row r="86" customFormat="false" ht="15" hidden="false" customHeight="false" outlineLevel="0" collapsed="false">
      <c r="A86" s="4" t="n">
        <v>57.5</v>
      </c>
      <c r="B86" s="13" t="n">
        <f aca="false">B$5*(1+A_pore*B$6*($A86/100))/(1-B$6*(1+((1-phimax_pore)/phimax_pore^2)*($A86/100))*($A86/100))</f>
        <v>1.49581788176096</v>
      </c>
      <c r="C86" s="13" t="n">
        <f aca="false">B$7*(1+A_pore*B$8*($A86/100))/(1-B$8*(1+((1-phimax_pore)/phimax_pore^2)*($A86/100))*($A86/100))</f>
        <v>0.0417165841075855</v>
      </c>
      <c r="D86" s="13" t="n">
        <f aca="false">D$5*(1+A_pore*D$6*($A86/100))/(1-D$6*(1+((1-phimax_pore)/phimax_pore^2)*($A86/100))*($A86/100))</f>
        <v>1.50829501972012</v>
      </c>
      <c r="E86" s="13" t="n">
        <f aca="false">D$7*(1+A_pore*D$8*($A86/100))/(1-D$8*(1+((1-phimax_pore)/phimax_pore^2)*($A86/100))*($A86/100))</f>
        <v>0.0455140429224562</v>
      </c>
      <c r="F86" s="13" t="n">
        <f aca="false">F$5*(1+A_pore*F$6*($A86/100))/(1-F$6*(1+((1-phimax_pore)/phimax_pore^2)*($A86/100))*($A86/100))</f>
        <v>1.53701961287294</v>
      </c>
      <c r="G86" s="13" t="n">
        <f aca="false">F$7*(1+A_pore*F$8*($A86/100))/(1-F$8*(1+((1-phimax_pore)/phimax_pore^2)*($A86/100))*($A86/100))</f>
        <v>0.0548461479488896</v>
      </c>
      <c r="H86" s="13" t="n">
        <f aca="false">H$5*(1+A_pore*H$6*($A86/100))/(1-H$6*(1+((1-phimax_pore)/phimax_pore^2)*($A86/100))*($A86/100))</f>
        <v>1.57239359308652</v>
      </c>
      <c r="I86" s="13" t="n">
        <f aca="false">H$7*(1+A_pore*H$8*($A86/100))/(1-H$8*(1+((1-phimax_pore)/phimax_pore^2)*($A86/100))*($A86/100))</f>
        <v>0.0744382922116433</v>
      </c>
      <c r="J86" s="13" t="n">
        <f aca="false">J$5*(1+A_pore*J$6*($A86/100))/(1-J$6*(1+((1-phimax_pore)/phimax_pore^2)*($A86/100))*($A86/100))</f>
        <v>1.61750894628305</v>
      </c>
      <c r="K86" s="13" t="n">
        <f aca="false">J$7*(1+A_pore*J$8*($A86/100))/(1-J$8*(1+((1-phimax_pore)/phimax_pore^2)*($A86/100))*($A86/100))</f>
        <v>0.238220229438296</v>
      </c>
    </row>
    <row r="87" customFormat="false" ht="15" hidden="false" customHeight="false" outlineLevel="0" collapsed="false">
      <c r="A87" s="4" t="n">
        <v>58</v>
      </c>
      <c r="B87" s="13" t="n">
        <f aca="false">B$5*(1+A_pore*B$6*($A87/100))/(1-B$6*(1+((1-phimax_pore)/phimax_pore^2)*($A87/100))*($A87/100))</f>
        <v>1.48763186533352</v>
      </c>
      <c r="C87" s="13" t="n">
        <f aca="false">B$7*(1+A_pore*B$8*($A87/100))/(1-B$8*(1+((1-phimax_pore)/phimax_pore^2)*($A87/100))*($A87/100))</f>
        <v>0.041447354328542</v>
      </c>
      <c r="D87" s="13" t="n">
        <f aca="false">D$5*(1+A_pore*D$6*($A87/100))/(1-D$6*(1+((1-phimax_pore)/phimax_pore^2)*($A87/100))*($A87/100))</f>
        <v>1.49986261853303</v>
      </c>
      <c r="E87" s="13" t="n">
        <f aca="false">D$7*(1+A_pore*D$8*($A87/100))/(1-D$8*(1+((1-phimax_pore)/phimax_pore^2)*($A87/100))*($A87/100))</f>
        <v>0.0451681054035491</v>
      </c>
      <c r="F87" s="13" t="n">
        <f aca="false">F$5*(1+A_pore*F$6*($A87/100))/(1-F$6*(1+((1-phimax_pore)/phimax_pore^2)*($A87/100))*($A87/100))</f>
        <v>1.52801684710493</v>
      </c>
      <c r="G87" s="13" t="n">
        <f aca="false">F$7*(1+A_pore*F$8*($A87/100))/(1-F$8*(1+((1-phimax_pore)/phimax_pore^2)*($A87/100))*($A87/100))</f>
        <v>0.054313567668837</v>
      </c>
      <c r="H87" s="13" t="n">
        <f aca="false">H$5*(1+A_pore*H$6*($A87/100))/(1-H$6*(1+((1-phimax_pore)/phimax_pore^2)*($A87/100))*($A87/100))</f>
        <v>1.56268357144238</v>
      </c>
      <c r="I87" s="13" t="n">
        <f aca="false">H$7*(1+A_pore*H$8*($A87/100))/(1-H$8*(1+((1-phimax_pore)/phimax_pore^2)*($A87/100))*($A87/100))</f>
        <v>0.0735220698912159</v>
      </c>
      <c r="J87" s="13" t="n">
        <f aca="false">J$5*(1+A_pore*J$6*($A87/100))/(1-J$6*(1+((1-phimax_pore)/phimax_pore^2)*($A87/100))*($A87/100))</f>
        <v>1.6068915182113</v>
      </c>
      <c r="K87" s="13" t="n">
        <f aca="false">J$7*(1+A_pore*J$8*($A87/100))/(1-J$8*(1+((1-phimax_pore)/phimax_pore^2)*($A87/100))*($A87/100))</f>
        <v>0.234138061680482</v>
      </c>
    </row>
    <row r="88" customFormat="false" ht="15" hidden="false" customHeight="false" outlineLevel="0" collapsed="false">
      <c r="A88" s="4" t="n">
        <v>58.5</v>
      </c>
      <c r="B88" s="13" t="n">
        <f aca="false">B$5*(1+A_pore*B$6*($A88/100))/(1-B$6*(1+((1-phimax_pore)/phimax_pore^2)*($A88/100))*($A88/100))</f>
        <v>1.47952042475377</v>
      </c>
      <c r="C88" s="13" t="n">
        <f aca="false">B$7*(1+A_pore*B$8*($A88/100))/(1-B$8*(1+((1-phimax_pore)/phimax_pore^2)*($A88/100))*($A88/100))</f>
        <v>0.0411809191894814</v>
      </c>
      <c r="D88" s="13" t="n">
        <f aca="false">D$5*(1+A_pore*D$6*($A88/100))/(1-D$6*(1+((1-phimax_pore)/phimax_pore^2)*($A88/100))*($A88/100))</f>
        <v>1.49150840642339</v>
      </c>
      <c r="E88" s="13" t="n">
        <f aca="false">D$7*(1+A_pore*D$8*($A88/100))/(1-D$8*(1+((1-phimax_pore)/phimax_pore^2)*($A88/100))*($A88/100))</f>
        <v>0.0448261854895355</v>
      </c>
      <c r="F88" s="13" t="n">
        <f aca="false">F$5*(1+A_pore*F$6*($A88/100))/(1-F$6*(1+((1-phimax_pore)/phimax_pore^2)*($A88/100))*($A88/100))</f>
        <v>1.51910077581612</v>
      </c>
      <c r="G88" s="13" t="n">
        <f aca="false">F$7*(1+A_pore*F$8*($A88/100))/(1-F$8*(1+((1-phimax_pore)/phimax_pore^2)*($A88/100))*($A88/100))</f>
        <v>0.0537879979412361</v>
      </c>
      <c r="H88" s="13" t="n">
        <f aca="false">H$5*(1+A_pore*H$6*($A88/100))/(1-H$6*(1+((1-phimax_pore)/phimax_pore^2)*($A88/100))*($A88/100))</f>
        <v>1.55307102448881</v>
      </c>
      <c r="I88" s="13" t="n">
        <f aca="false">H$7*(1+A_pore*H$8*($A88/100))/(1-H$8*(1+((1-phimax_pore)/phimax_pore^2)*($A88/100))*($A88/100))</f>
        <v>0.0726188222966758</v>
      </c>
      <c r="J88" s="13" t="n">
        <f aca="false">J$5*(1+A_pore*J$6*($A88/100))/(1-J$6*(1+((1-phimax_pore)/phimax_pore^2)*($A88/100))*($A88/100))</f>
        <v>1.59638568998312</v>
      </c>
      <c r="K88" s="13" t="n">
        <f aca="false">J$7*(1+A_pore*J$8*($A88/100))/(1-J$8*(1+((1-phimax_pore)/phimax_pore^2)*($A88/100))*($A88/100))</f>
        <v>0.230116830976477</v>
      </c>
    </row>
    <row r="89" customFormat="false" ht="15" hidden="false" customHeight="false" outlineLevel="0" collapsed="false">
      <c r="A89" s="4" t="n">
        <v>59</v>
      </c>
      <c r="B89" s="13" t="n">
        <f aca="false">B$5*(1+A_pore*B$6*($A89/100))/(1-B$6*(1+((1-phimax_pore)/phimax_pore^2)*($A89/100))*($A89/100))</f>
        <v>1.47148254738678</v>
      </c>
      <c r="C89" s="13" t="n">
        <f aca="false">B$7*(1+A_pore*B$8*($A89/100))/(1-B$8*(1+((1-phimax_pore)/phimax_pore^2)*($A89/100))*($A89/100))</f>
        <v>0.0409172354823527</v>
      </c>
      <c r="D89" s="13" t="n">
        <f aca="false">D$5*(1+A_pore*D$6*($A89/100))/(1-D$6*(1+((1-phimax_pore)/phimax_pore^2)*($A89/100))*($A89/100))</f>
        <v>1.48323130286623</v>
      </c>
      <c r="E89" s="13" t="n">
        <f aca="false">D$7*(1+A_pore*D$8*($A89/100))/(1-D$8*(1+((1-phimax_pore)/phimax_pore^2)*($A89/100))*($A89/100))</f>
        <v>0.0444882137349551</v>
      </c>
      <c r="F89" s="13" t="n">
        <f aca="false">F$5*(1+A_pore*F$6*($A89/100))/(1-F$6*(1+((1-phimax_pore)/phimax_pore^2)*($A89/100))*($A89/100))</f>
        <v>1.51027015500469</v>
      </c>
      <c r="G89" s="13" t="n">
        <f aca="false">F$7*(1+A_pore*F$8*($A89/100))/(1-F$8*(1+((1-phimax_pore)/phimax_pore^2)*($A89/100))*($A89/100))</f>
        <v>0.0532693015794401</v>
      </c>
      <c r="H89" s="13" t="n">
        <f aca="false">H$5*(1+A_pore*H$6*($A89/100))/(1-H$6*(1+((1-phimax_pore)/phimax_pore^2)*($A89/100))*($A89/100))</f>
        <v>1.54355449447785</v>
      </c>
      <c r="I89" s="13" t="n">
        <f aca="false">H$7*(1+A_pore*H$8*($A89/100))/(1-H$8*(1+((1-phimax_pore)/phimax_pore^2)*($A89/100))*($A89/100))</f>
        <v>0.0717282765723727</v>
      </c>
      <c r="J89" s="13" t="n">
        <f aca="false">J$5*(1+A_pore*J$6*($A89/100))/(1-J$6*(1+((1-phimax_pore)/phimax_pore^2)*($A89/100))*($A89/100))</f>
        <v>1.58598971452459</v>
      </c>
      <c r="K89" s="13" t="n">
        <f aca="false">J$7*(1+A_pore*J$8*($A89/100))/(1-J$8*(1+((1-phimax_pore)/phimax_pore^2)*($A89/100))*($A89/100))</f>
        <v>0.226155188039529</v>
      </c>
    </row>
    <row r="90" customFormat="false" ht="15" hidden="false" customHeight="false" outlineLevel="0" collapsed="false">
      <c r="A90" s="4" t="n">
        <v>59.5</v>
      </c>
      <c r="B90" s="13" t="n">
        <f aca="false">B$5*(1+A_pore*B$6*($A90/100))/(1-B$6*(1+((1-phimax_pore)/phimax_pore^2)*($A90/100))*($A90/100))</f>
        <v>1.46351723884817</v>
      </c>
      <c r="C90" s="13" t="n">
        <f aca="false">B$7*(1+A_pore*B$8*($A90/100))/(1-B$8*(1+((1-phimax_pore)/phimax_pore^2)*($A90/100))*($A90/100))</f>
        <v>0.0406562608852435</v>
      </c>
      <c r="D90" s="13" t="n">
        <f aca="false">D$5*(1+A_pore*D$6*($A90/100))/(1-D$6*(1+((1-phimax_pore)/phimax_pore^2)*($A90/100))*($A90/100))</f>
        <v>1.47503024715448</v>
      </c>
      <c r="E90" s="13" t="n">
        <f aca="false">D$7*(1+A_pore*D$8*($A90/100))/(1-D$8*(1+((1-phimax_pore)/phimax_pore^2)*($A90/100))*($A90/100))</f>
        <v>0.0441541222856638</v>
      </c>
      <c r="F90" s="13" t="n">
        <f aca="false">F$5*(1+A_pore*F$6*($A90/100))/(1-F$6*(1+((1-phimax_pore)/phimax_pore^2)*($A90/100))*($A90/100))</f>
        <v>1.50152376435574</v>
      </c>
      <c r="G90" s="13" t="n">
        <f aca="false">F$7*(1+A_pore*F$8*($A90/100))/(1-F$8*(1+((1-phimax_pore)/phimax_pore^2)*($A90/100))*($A90/100))</f>
        <v>0.0527573449529387</v>
      </c>
      <c r="H90" s="13" t="n">
        <f aca="false">H$5*(1+A_pore*H$6*($A90/100))/(1-H$6*(1+((1-phimax_pore)/phimax_pore^2)*($A90/100))*($A90/100))</f>
        <v>1.53413255258465</v>
      </c>
      <c r="I90" s="13" t="n">
        <f aca="false">H$7*(1+A_pore*H$8*($A90/100))/(1-H$8*(1+((1-phimax_pore)/phimax_pore^2)*($A90/100))*($A90/100))</f>
        <v>0.0708501674600289</v>
      </c>
      <c r="J90" s="13" t="n">
        <f aca="false">J$5*(1+A_pore*J$6*($A90/100))/(1-J$6*(1+((1-phimax_pore)/phimax_pore^2)*($A90/100))*($A90/100))</f>
        <v>1.57570188103862</v>
      </c>
      <c r="K90" s="13" t="n">
        <f aca="false">J$7*(1+A_pore*J$8*($A90/100))/(1-J$8*(1+((1-phimax_pore)/phimax_pore^2)*($A90/100))*($A90/100))</f>
        <v>0.222251823125104</v>
      </c>
    </row>
    <row r="91" customFormat="false" ht="15" hidden="false" customHeight="false" outlineLevel="0" collapsed="false">
      <c r="A91" s="4" t="n">
        <v>60</v>
      </c>
      <c r="B91" s="13" t="n">
        <f aca="false">B$5*(1+A_pore*B$6*($A91/100))/(1-B$6*(1+((1-phimax_pore)/phimax_pore^2)*($A91/100))*($A91/100))</f>
        <v>1.45562352259483</v>
      </c>
      <c r="C91" s="13" t="n">
        <f aca="false">B$7*(1+A_pore*B$8*($A91/100))/(1-B$8*(1+((1-phimax_pore)/phimax_pore^2)*($A91/100))*($A91/100))</f>
        <v>0.0403979539397797</v>
      </c>
      <c r="D91" s="13" t="n">
        <f aca="false">D$5*(1+A_pore*D$6*($A91/100))/(1-D$6*(1+((1-phimax_pore)/phimax_pore^2)*($A91/100))*($A91/100))</f>
        <v>1.46690419794672</v>
      </c>
      <c r="E91" s="13" t="n">
        <f aca="false">D$7*(1+A_pore*D$8*($A91/100))/(1-D$8*(1+((1-phimax_pore)/phimax_pore^2)*($A91/100))*($A91/100))</f>
        <v>0.0438238448335129</v>
      </c>
      <c r="F91" s="13" t="n">
        <f aca="false">F$5*(1+A_pore*F$6*($A91/100))/(1-F$6*(1+((1-phimax_pore)/phimax_pore^2)*($A91/100))*($A91/100))</f>
        <v>1.49286040668019</v>
      </c>
      <c r="G91" s="13" t="n">
        <f aca="false">F$7*(1+A_pore*F$8*($A91/100))/(1-F$8*(1+((1-phimax_pore)/phimax_pore^2)*($A91/100))*($A91/100))</f>
        <v>0.0522519978728727</v>
      </c>
      <c r="H91" s="13" t="n">
        <f aca="false">H$5*(1+A_pore*H$6*($A91/100))/(1-H$6*(1+((1-phimax_pore)/phimax_pore^2)*($A91/100))*($A91/100))</f>
        <v>1.52480379819357</v>
      </c>
      <c r="I91" s="13" t="n">
        <f aca="false">H$7*(1+A_pore*H$8*($A91/100))/(1-H$8*(1+((1-phimax_pore)/phimax_pore^2)*($A91/100))*($A91/100))</f>
        <v>0.0699842370361417</v>
      </c>
      <c r="J91" s="13" t="n">
        <f aca="false">J$5*(1+A_pore*J$6*($A91/100))/(1-J$6*(1+((1-phimax_pore)/phimax_pore^2)*($A91/100))*($A91/100))</f>
        <v>1.56552051406827</v>
      </c>
      <c r="K91" s="13" t="n">
        <f aca="false">J$7*(1+A_pore*J$8*($A91/100))/(1-J$8*(1+((1-phimax_pore)/phimax_pore^2)*($A91/100))*($A91/100))</f>
        <v>0.218405464592896</v>
      </c>
    </row>
    <row r="92" customFormat="false" ht="15" hidden="false" customHeight="false" outlineLevel="0" collapsed="false">
      <c r="A92" s="4" t="n">
        <v>60.5</v>
      </c>
      <c r="B92" s="13" t="n">
        <f aca="false">B$5*(1+A_pore*B$6*($A92/100))/(1-B$6*(1+((1-phimax_pore)/phimax_pore^2)*($A92/100))*($A92/100))</f>
        <v>1.44780043952655</v>
      </c>
      <c r="C92" s="13" t="n">
        <f aca="false">B$7*(1+A_pore*B$8*($A92/100))/(1-B$8*(1+((1-phimax_pore)/phimax_pore^2)*($A92/100))*($A92/100))</f>
        <v>0.0401422740292119</v>
      </c>
      <c r="D92" s="13" t="n">
        <f aca="false">D$5*(1+A_pore*D$6*($A92/100))/(1-D$6*(1+((1-phimax_pore)/phimax_pore^2)*($A92/100))*($A92/100))</f>
        <v>1.45885213282718</v>
      </c>
      <c r="E92" s="13" t="n">
        <f aca="false">D$7*(1+A_pore*D$8*($A92/100))/(1-D$8*(1+((1-phimax_pore)/phimax_pore^2)*($A92/100))*($A92/100))</f>
        <v>0.0434973165725686</v>
      </c>
      <c r="F92" s="13" t="n">
        <f aca="false">F$5*(1+A_pore*F$6*($A92/100))/(1-F$6*(1+((1-phimax_pore)/phimax_pore^2)*($A92/100))*($A92/100))</f>
        <v>1.48427890736954</v>
      </c>
      <c r="G92" s="13" t="n">
        <f aca="false">F$7*(1+A_pore*F$8*($A92/100))/(1-F$8*(1+((1-phimax_pore)/phimax_pore^2)*($A92/100))*($A92/100))</f>
        <v>0.0517531334819434</v>
      </c>
      <c r="H92" s="13" t="n">
        <f aca="false">H$5*(1+A_pore*H$6*($A92/100))/(1-H$6*(1+((1-phimax_pore)/phimax_pore^2)*($A92/100))*($A92/100))</f>
        <v>1.51556685820553</v>
      </c>
      <c r="I92" s="13" t="n">
        <f aca="false">H$7*(1+A_pore*H$8*($A92/100))/(1-H$8*(1+((1-phimax_pore)/phimax_pore^2)*($A92/100))*($A92/100))</f>
        <v>0.0691302344602022</v>
      </c>
      <c r="J92" s="13" t="n">
        <f aca="false">J$5*(1+A_pore*J$6*($A92/100))/(1-J$6*(1+((1-phimax_pore)/phimax_pore^2)*($A92/100))*($A92/100))</f>
        <v>1.55544397258886</v>
      </c>
      <c r="K92" s="13" t="n">
        <f aca="false">J$7*(1+A_pore*J$8*($A92/100))/(1-J$8*(1+((1-phimax_pore)/phimax_pore^2)*($A92/100))*($A92/100))</f>
        <v>0.214614877531123</v>
      </c>
    </row>
    <row r="93" customFormat="false" ht="15" hidden="false" customHeight="false" outlineLevel="0" collapsed="false">
      <c r="A93" s="4" t="n">
        <v>61</v>
      </c>
      <c r="B93" s="13" t="n">
        <f aca="false">B$5*(1+A_pore*B$6*($A93/100))/(1-B$6*(1+((1-phimax_pore)/phimax_pore^2)*($A93/100))*($A93/100))</f>
        <v>1.44004704759826</v>
      </c>
      <c r="C93" s="13" t="n">
        <f aca="false">B$7*(1+A_pore*B$8*($A93/100))/(1-B$8*(1+((1-phimax_pore)/phimax_pore^2)*($A93/100))*($A93/100))</f>
        <v>0.0398891813571675</v>
      </c>
      <c r="D93" s="13" t="n">
        <f aca="false">D$5*(1+A_pore*D$6*($A93/100))/(1-D$6*(1+((1-phimax_pore)/phimax_pore^2)*($A93/100))*($A93/100))</f>
        <v>1.45087304787776</v>
      </c>
      <c r="E93" s="13" t="n">
        <f aca="false">D$7*(1+A_pore*D$8*($A93/100))/(1-D$8*(1+((1-phimax_pore)/phimax_pore^2)*($A93/100))*($A93/100))</f>
        <v>0.0431744741568098</v>
      </c>
      <c r="F93" s="13" t="n">
        <f aca="false">F$5*(1+A_pore*F$6*($A93/100))/(1-F$6*(1+((1-phimax_pore)/phimax_pore^2)*($A93/100))*($A93/100))</f>
        <v>1.47577811386602</v>
      </c>
      <c r="G93" s="13" t="n">
        <f aca="false">F$7*(1+A_pore*F$8*($A93/100))/(1-F$8*(1+((1-phimax_pore)/phimax_pore^2)*($A93/100))*($A93/100))</f>
        <v>0.0512606281485211</v>
      </c>
      <c r="H93" s="13" t="n">
        <f aca="false">H$5*(1+A_pore*H$6*($A93/100))/(1-H$6*(1+((1-phimax_pore)/phimax_pore^2)*($A93/100))*($A93/100))</f>
        <v>1.50642038636548</v>
      </c>
      <c r="I93" s="13" t="n">
        <f aca="false">H$7*(1+A_pore*H$8*($A93/100))/(1-H$8*(1+((1-phimax_pore)/phimax_pore^2)*($A93/100))*($A93/100))</f>
        <v>0.0682879157332158</v>
      </c>
      <c r="J93" s="13" t="n">
        <f aca="false">J$5*(1+A_pore*J$6*($A93/100))/(1-J$6*(1+((1-phimax_pore)/phimax_pore^2)*($A93/100))*($A93/100))</f>
        <v>1.545470649128</v>
      </c>
      <c r="K93" s="13" t="n">
        <f aca="false">J$7*(1+A_pore*J$8*($A93/100))/(1-J$8*(1+((1-phimax_pore)/phimax_pore^2)*($A93/100))*($A93/100))</f>
        <v>0.210878862440012</v>
      </c>
    </row>
    <row r="94" customFormat="false" ht="15" hidden="false" customHeight="false" outlineLevel="0" collapsed="false">
      <c r="A94" s="4" t="n">
        <v>61.5</v>
      </c>
      <c r="B94" s="13" t="n">
        <f aca="false">B$5*(1+A_pore*B$6*($A94/100))/(1-B$6*(1+((1-phimax_pore)/phimax_pore^2)*($A94/100))*($A94/100))</f>
        <v>1.4323624214427</v>
      </c>
      <c r="C94" s="13" t="n">
        <f aca="false">B$7*(1+A_pore*B$8*($A94/100))/(1-B$8*(1+((1-phimax_pore)/phimax_pore^2)*($A94/100))*($A94/100))</f>
        <v>0.0396386369270414</v>
      </c>
      <c r="D94" s="13" t="n">
        <f aca="false">D$5*(1+A_pore*D$6*($A94/100))/(1-D$6*(1+((1-phimax_pore)/phimax_pore^2)*($A94/100))*($A94/100))</f>
        <v>1.44296595726161</v>
      </c>
      <c r="E94" s="13" t="n">
        <f aca="false">D$7*(1+A_pore*D$8*($A94/100))/(1-D$8*(1+((1-phimax_pore)/phimax_pore^2)*($A94/100))*($A94/100))</f>
        <v>0.0428552556592491</v>
      </c>
      <c r="F94" s="13" t="n">
        <f aca="false">F$5*(1+A_pore*F$6*($A94/100))/(1-F$6*(1+((1-phimax_pore)/phimax_pore^2)*($A94/100))*($A94/100))</f>
        <v>1.46735689514753</v>
      </c>
      <c r="G94" s="13" t="n">
        <f aca="false">F$7*(1+A_pore*F$8*($A94/100))/(1-F$8*(1+((1-phimax_pore)/phimax_pore^2)*($A94/100))*($A94/100))</f>
        <v>0.0507743613647662</v>
      </c>
      <c r="H94" s="13" t="n">
        <f aca="false">H$5*(1+A_pore*H$6*($A94/100))/(1-H$6*(1+((1-phimax_pore)/phimax_pore^2)*($A94/100))*($A94/100))</f>
        <v>1.49736306260968</v>
      </c>
      <c r="I94" s="13" t="n">
        <f aca="false">H$7*(1+A_pore*H$8*($A94/100))/(1-H$8*(1+((1-phimax_pore)/phimax_pore^2)*($A94/100))*($A94/100))</f>
        <v>0.0674570434660338</v>
      </c>
      <c r="J94" s="13" t="n">
        <f aca="false">J$5*(1+A_pore*J$6*($A94/100))/(1-J$6*(1+((1-phimax_pore)/phimax_pore^2)*($A94/100))*($A94/100))</f>
        <v>1.53559896891244</v>
      </c>
      <c r="K94" s="13" t="n">
        <f aca="false">J$7*(1+A_pore*J$8*($A94/100))/(1-J$8*(1+((1-phimax_pore)/phimax_pore^2)*($A94/100))*($A94/100))</f>
        <v>0.207196253971498</v>
      </c>
    </row>
    <row r="95" customFormat="false" ht="15" hidden="false" customHeight="false" outlineLevel="0" collapsed="false">
      <c r="A95" s="4" t="n">
        <v>62</v>
      </c>
      <c r="B95" s="13" t="n">
        <f aca="false">B$5*(1+A_pore*B$6*($A95/100))/(1-B$6*(1+((1-phimax_pore)/phimax_pore^2)*($A95/100))*($A95/100))</f>
        <v>1.42474565200286</v>
      </c>
      <c r="C95" s="13" t="n">
        <f aca="false">B$7*(1+A_pore*B$8*($A95/100))/(1-B$8*(1+((1-phimax_pore)/phimax_pore^2)*($A95/100))*($A95/100))</f>
        <v>0.0393906025220063</v>
      </c>
      <c r="D95" s="13" t="n">
        <f aca="false">D$5*(1+A_pore*D$6*($A95/100))/(1-D$6*(1+((1-phimax_pore)/phimax_pore^2)*($A95/100))*($A95/100))</f>
        <v>1.43512989281784</v>
      </c>
      <c r="E95" s="13" t="n">
        <f aca="false">D$7*(1+A_pore*D$8*($A95/100))/(1-D$8*(1+((1-phimax_pore)/phimax_pore^2)*($A95/100))*($A95/100))</f>
        <v>0.0425396005324183</v>
      </c>
      <c r="F95" s="13" t="n">
        <f aca="false">F$5*(1+A_pore*F$6*($A95/100))/(1-F$6*(1+((1-phimax_pore)/phimax_pore^2)*($A95/100))*($A95/100))</f>
        <v>1.459014141227</v>
      </c>
      <c r="G95" s="13" t="n">
        <f aca="false">F$7*(1+A_pore*F$8*($A95/100))/(1-F$8*(1+((1-phimax_pore)/phimax_pore^2)*($A95/100))*($A95/100))</f>
        <v>0.0502942156485884</v>
      </c>
      <c r="H95" s="13" t="n">
        <f aca="false">H$5*(1+A_pore*H$6*($A95/100))/(1-H$6*(1+((1-phimax_pore)/phimax_pore^2)*($A95/100))*($A95/100))</f>
        <v>1.48839359243178</v>
      </c>
      <c r="I95" s="13" t="n">
        <f aca="false">H$7*(1+A_pore*H$8*($A95/100))/(1-H$8*(1+((1-phimax_pore)/phimax_pore^2)*($A95/100))*($A95/100))</f>
        <v>0.0666373866570365</v>
      </c>
      <c r="J95" s="13" t="n">
        <f aca="false">J$5*(1+A_pore*J$6*($A95/100))/(1-J$6*(1+((1-phimax_pore)/phimax_pore^2)*($A95/100))*($A95/100))</f>
        <v>1.52582738904078</v>
      </c>
      <c r="K95" s="13" t="n">
        <f aca="false">J$7*(1+A_pore*J$8*($A95/100))/(1-J$8*(1+((1-phimax_pore)/phimax_pore^2)*($A95/100))*($A95/100))</f>
        <v>0.203565919722375</v>
      </c>
    </row>
    <row r="96" customFormat="false" ht="15" hidden="false" customHeight="false" outlineLevel="0" collapsed="false">
      <c r="A96" s="4" t="n">
        <v>62.5</v>
      </c>
      <c r="B96" s="13" t="n">
        <f aca="false">B$5*(1+A_pore*B$6*($A96/100))/(1-B$6*(1+((1-phimax_pore)/phimax_pore^2)*($A96/100))*($A96/100))</f>
        <v>1.4171958461743</v>
      </c>
      <c r="C96" s="13" t="n">
        <f aca="false">B$7*(1+A_pore*B$8*($A96/100))/(1-B$8*(1+((1-phimax_pore)/phimax_pore^2)*($A96/100))*($A96/100))</f>
        <v>0.0391450406856189</v>
      </c>
      <c r="D96" s="13" t="n">
        <f aca="false">D$5*(1+A_pore*D$6*($A96/100))/(1-D$6*(1+((1-phimax_pore)/phimax_pore^2)*($A96/100))*($A96/100))</f>
        <v>1.42736390366715</v>
      </c>
      <c r="E96" s="13" t="n">
        <f aca="false">D$7*(1+A_pore*D$8*($A96/100))/(1-D$8*(1+((1-phimax_pore)/phimax_pore^2)*($A96/100))*($A96/100))</f>
        <v>0.0422274495701679</v>
      </c>
      <c r="F96" s="13" t="n">
        <f aca="false">F$5*(1+A_pore*F$6*($A96/100))/(1-F$6*(1+((1-phimax_pore)/phimax_pore^2)*($A96/100))*($A96/100))</f>
        <v>1.45074876266564</v>
      </c>
      <c r="G96" s="13" t="n">
        <f aca="false">F$7*(1+A_pore*F$8*($A96/100))/(1-F$8*(1+((1-phimax_pore)/phimax_pore^2)*($A96/100))*($A96/100))</f>
        <v>0.0498200764492741</v>
      </c>
      <c r="H96" s="13" t="n">
        <f aca="false">H$5*(1+A_pore*H$6*($A96/100))/(1-H$6*(1+((1-phimax_pore)/phimax_pore^2)*($A96/100))*($A96/100))</f>
        <v>1.47951070626732</v>
      </c>
      <c r="I96" s="13" t="n">
        <f aca="false">H$7*(1+A_pore*H$8*($A96/100))/(1-H$8*(1+((1-phimax_pore)/phimax_pore^2)*($A96/100))*($A96/100))</f>
        <v>0.065828720478729</v>
      </c>
      <c r="J96" s="13" t="n">
        <f aca="false">J$5*(1+A_pore*J$6*($A96/100))/(1-J$6*(1+((1-phimax_pore)/phimax_pore^2)*($A96/100))*($A96/100))</f>
        <v>1.5161543976813</v>
      </c>
      <c r="K96" s="13" t="n">
        <f aca="false">J$7*(1+A_pore*J$8*($A96/100))/(1-J$8*(1+((1-phimax_pore)/phimax_pore^2)*($A96/100))*($A96/100))</f>
        <v>0.199986759078257</v>
      </c>
    </row>
    <row r="97" customFormat="false" ht="15" hidden="false" customHeight="false" outlineLevel="0" collapsed="false">
      <c r="A97" s="4" t="n">
        <v>63</v>
      </c>
      <c r="B97" s="13" t="n">
        <f aca="false">B$5*(1+A_pore*B$6*($A97/100))/(1-B$6*(1+((1-phimax_pore)/phimax_pore^2)*($A97/100))*($A97/100))</f>
        <v>1.40971212645667</v>
      </c>
      <c r="C97" s="13" t="n">
        <f aca="false">B$7*(1+A_pore*B$8*($A97/100))/(1-B$8*(1+((1-phimax_pore)/phimax_pore^2)*($A97/100))*($A97/100))</f>
        <v>0.0389019147030023</v>
      </c>
      <c r="D97" s="13" t="n">
        <f aca="false">D$5*(1+A_pore*D$6*($A97/100))/(1-D$6*(1+((1-phimax_pore)/phimax_pore^2)*($A97/100))*($A97/100))</f>
        <v>1.41966705582797</v>
      </c>
      <c r="E97" s="13" t="n">
        <f aca="false">D$7*(1+A_pore*D$8*($A97/100))/(1-D$8*(1+((1-phimax_pore)/phimax_pore^2)*($A97/100))*($A97/100))</f>
        <v>0.041918744870728</v>
      </c>
      <c r="F97" s="13" t="n">
        <f aca="false">F$5*(1+A_pore*F$6*($A97/100))/(1-F$6*(1+((1-phimax_pore)/phimax_pore^2)*($A97/100))*($A97/100))</f>
        <v>1.44255969009963</v>
      </c>
      <c r="G97" s="13" t="n">
        <f aca="false">F$7*(1+A_pore*F$8*($A97/100))/(1-F$8*(1+((1-phimax_pore)/phimax_pore^2)*($A97/100))*($A97/100))</f>
        <v>0.0493518320566254</v>
      </c>
      <c r="H97" s="13" t="n">
        <f aca="false">H$5*(1+A_pore*H$6*($A97/100))/(1-H$6*(1+((1-phimax_pore)/phimax_pore^2)*($A97/100))*($A97/100))</f>
        <v>1.47071315889589</v>
      </c>
      <c r="I97" s="13" t="n">
        <f aca="false">H$7*(1+A_pore*H$8*($A97/100))/(1-H$8*(1+((1-phimax_pore)/phimax_pore^2)*($A97/100))*($A97/100))</f>
        <v>0.0650308260728353</v>
      </c>
      <c r="J97" s="13" t="n">
        <f aca="false">J$5*(1+A_pore*J$6*($A97/100))/(1-J$6*(1+((1-phimax_pore)/phimax_pore^2)*($A97/100))*($A97/100))</f>
        <v>1.5065785132937</v>
      </c>
      <c r="K97" s="13" t="n">
        <f aca="false">J$7*(1+A_pore*J$8*($A97/100))/(1-J$8*(1+((1-phimax_pore)/phimax_pore^2)*($A97/100))*($A97/100))</f>
        <v>0.196457702105887</v>
      </c>
    </row>
    <row r="98" customFormat="false" ht="15" hidden="false" customHeight="false" outlineLevel="0" collapsed="false">
      <c r="A98" s="4" t="n">
        <v>63.5</v>
      </c>
      <c r="B98" s="13" t="n">
        <f aca="false">B$5*(1+A_pore*B$6*($A98/100))/(1-B$6*(1+((1-phimax_pore)/phimax_pore^2)*($A98/100))*($A98/100))</f>
        <v>1.40229363061449</v>
      </c>
      <c r="C98" s="13" t="n">
        <f aca="false">B$7*(1+A_pore*B$8*($A98/100))/(1-B$8*(1+((1-phimax_pore)/phimax_pore^2)*($A98/100))*($A98/100))</f>
        <v>0.0386611885825842</v>
      </c>
      <c r="D98" s="13" t="n">
        <f aca="false">D$5*(1+A_pore*D$6*($A98/100))/(1-D$6*(1+((1-phimax_pore)/phimax_pore^2)*($A98/100))*($A98/100))</f>
        <v>1.4120384318427</v>
      </c>
      <c r="E98" s="13" t="n">
        <f aca="false">D$7*(1+A_pore*D$8*($A98/100))/(1-D$8*(1+((1-phimax_pore)/phimax_pore^2)*($A98/100))*($A98/100))</f>
        <v>0.0416134298009845</v>
      </c>
      <c r="F98" s="13" t="n">
        <f aca="false">F$5*(1+A_pore*F$6*($A98/100))/(1-F$6*(1+((1-phimax_pore)/phimax_pore^2)*($A98/100))*($A98/100))</f>
        <v>1.43444587377984</v>
      </c>
      <c r="G98" s="13" t="n">
        <f aca="false">F$7*(1+A_pore*F$8*($A98/100))/(1-F$8*(1+((1-phimax_pore)/phimax_pore^2)*($A98/100))*($A98/100))</f>
        <v>0.0488893735134569</v>
      </c>
      <c r="H98" s="13" t="n">
        <f aca="false">H$5*(1+A_pore*H$6*($A98/100))/(1-H$6*(1+((1-phimax_pore)/phimax_pore^2)*($A98/100))*($A98/100))</f>
        <v>1.46199972886042</v>
      </c>
      <c r="I98" s="13" t="n">
        <f aca="false">H$7*(1+A_pore*H$8*($A98/100))/(1-H$8*(1+((1-phimax_pore)/phimax_pore^2)*($A98/100))*($A98/100))</f>
        <v>0.0642434903535</v>
      </c>
      <c r="J98" s="13" t="n">
        <f aca="false">J$5*(1+A_pore*J$6*($A98/100))/(1-J$6*(1+((1-phimax_pore)/phimax_pore^2)*($A98/100))*($A98/100))</f>
        <v>1.4970982838743</v>
      </c>
      <c r="K98" s="13" t="n">
        <f aca="false">J$7*(1+A_pore*J$8*($A98/100))/(1-J$8*(1+((1-phimax_pore)/phimax_pore^2)*($A98/100))*($A98/100))</f>
        <v>0.192977708491434</v>
      </c>
    </row>
    <row r="99" customFormat="false" ht="15" hidden="false" customHeight="false" outlineLevel="0" collapsed="false">
      <c r="A99" s="4" t="n">
        <v>64</v>
      </c>
      <c r="B99" s="13" t="n">
        <f aca="false">B$5*(1+A_pore*B$6*($A99/100))/(1-B$6*(1+((1-phimax_pore)/phimax_pore^2)*($A99/100))*($A99/100))</f>
        <v>1.39493951134656</v>
      </c>
      <c r="C99" s="13" t="n">
        <f aca="false">B$7*(1+A_pore*B$8*($A99/100))/(1-B$8*(1+((1-phimax_pore)/phimax_pore^2)*($A99/100))*($A99/100))</f>
        <v>0.0384228270383725</v>
      </c>
      <c r="D99" s="13" t="n">
        <f aca="false">D$5*(1+A_pore*D$6*($A99/100))/(1-D$6*(1+((1-phimax_pore)/phimax_pore^2)*($A99/100))*($A99/100))</f>
        <v>1.40447713041399</v>
      </c>
      <c r="E99" s="13" t="n">
        <f aca="false">D$7*(1+A_pore*D$8*($A99/100))/(1-D$8*(1+((1-phimax_pore)/phimax_pore^2)*($A99/100))*($A99/100))</f>
        <v>0.0413114489619219</v>
      </c>
      <c r="F99" s="13" t="n">
        <f aca="false">F$5*(1+A_pore*F$6*($A99/100))/(1-F$6*(1+((1-phimax_pore)/phimax_pore^2)*($A99/100))*($A99/100))</f>
        <v>1.42640628312417</v>
      </c>
      <c r="G99" s="13" t="n">
        <f aca="false">F$7*(1+A_pore*F$8*($A99/100))/(1-F$8*(1+((1-phimax_pore)/phimax_pore^2)*($A99/100))*($A99/100))</f>
        <v>0.0484325945313072</v>
      </c>
      <c r="H99" s="13" t="n">
        <f aca="false">H$5*(1+A_pore*H$6*($A99/100))/(1-H$6*(1+((1-phimax_pore)/phimax_pore^2)*($A99/100))*($A99/100))</f>
        <v>1.45336921790299</v>
      </c>
      <c r="I99" s="13" t="n">
        <f aca="false">H$7*(1+A_pore*H$8*($A99/100))/(1-H$8*(1+((1-phimax_pore)/phimax_pore^2)*($A99/100))*($A99/100))</f>
        <v>0.0634665058182241</v>
      </c>
      <c r="J99" s="13" t="n">
        <f aca="false">J$5*(1+A_pore*J$6*($A99/100))/(1-J$6*(1+((1-phimax_pore)/phimax_pore^2)*($A99/100))*($A99/100))</f>
        <v>1.48771228622362</v>
      </c>
      <c r="K99" s="13" t="n">
        <f aca="false">J$7*(1+A_pore*J$8*($A99/100))/(1-J$8*(1+((1-phimax_pore)/phimax_pore^2)*($A99/100))*($A99/100))</f>
        <v>0.189545766522581</v>
      </c>
    </row>
    <row r="100" customFormat="false" ht="15" hidden="false" customHeight="false" outlineLevel="0" collapsed="false">
      <c r="A100" s="4" t="n">
        <v>64.5</v>
      </c>
      <c r="B100" s="13" t="n">
        <f aca="false">B$5*(1+A_pore*B$6*($A100/100))/(1-B$6*(1+((1-phimax_pore)/phimax_pore^2)*($A100/100))*($A100/100))</f>
        <v>1.38764893596411</v>
      </c>
      <c r="C100" s="13" t="n">
        <f aca="false">B$7*(1+A_pore*B$8*($A100/100))/(1-B$8*(1+((1-phimax_pore)/phimax_pore^2)*($A100/100))*($A100/100))</f>
        <v>0.0381867954727493</v>
      </c>
      <c r="D100" s="13" t="n">
        <f aca="false">D$5*(1+A_pore*D$6*($A100/100))/(1-D$6*(1+((1-phimax_pore)/phimax_pore^2)*($A100/100))*($A100/100))</f>
        <v>1.39698226605041</v>
      </c>
      <c r="E100" s="13" t="n">
        <f aca="false">D$7*(1+A_pore*D$8*($A100/100))/(1-D$8*(1+((1-phimax_pore)/phimax_pore^2)*($A100/100))*($A100/100))</f>
        <v>0.0410127481551902</v>
      </c>
      <c r="F100" s="13" t="n">
        <f aca="false">F$5*(1+A_pore*F$6*($A100/100))/(1-F$6*(1+((1-phimax_pore)/phimax_pore^2)*($A100/100))*($A100/100))</f>
        <v>1.41843990628206</v>
      </c>
      <c r="G100" s="13" t="n">
        <f aca="false">F$7*(1+A_pore*F$8*($A100/100))/(1-F$8*(1+((1-phimax_pore)/phimax_pore^2)*($A100/100))*($A100/100))</f>
        <v>0.0479813914092297</v>
      </c>
      <c r="H100" s="13" t="n">
        <f aca="false">H$5*(1+A_pore*H$6*($A100/100))/(1-H$6*(1+((1-phimax_pore)/phimax_pore^2)*($A100/100))*($A100/100))</f>
        <v>1.44482045041668</v>
      </c>
      <c r="I100" s="13" t="n">
        <f aca="false">H$7*(1+A_pore*H$8*($A100/100))/(1-H$8*(1+((1-phimax_pore)/phimax_pore^2)*($A100/100))*($A100/100))</f>
        <v>0.0626996703661837</v>
      </c>
      <c r="J100" s="13" t="n">
        <f aca="false">J$5*(1+A_pore*J$6*($A100/100))/(1-J$6*(1+((1-phimax_pore)/phimax_pore^2)*($A100/100))*($A100/100))</f>
        <v>1.47841912523559</v>
      </c>
      <c r="K100" s="13" t="n">
        <f aca="false">J$7*(1+A_pore*J$8*($A100/100))/(1-J$8*(1+((1-phimax_pore)/phimax_pore^2)*($A100/100))*($A100/100))</f>
        <v>0.186160892112304</v>
      </c>
    </row>
    <row r="101" customFormat="false" ht="15" hidden="false" customHeight="false" outlineLevel="0" collapsed="false">
      <c r="A101" s="4" t="n">
        <v>65</v>
      </c>
      <c r="B101" s="13" t="n">
        <f aca="false">B$5*(1+A_pore*B$6*($A101/100))/(1-B$6*(1+((1-phimax_pore)/phimax_pore^2)*($A101/100))*($A101/100))</f>
        <v>1.38042108607707</v>
      </c>
      <c r="C101" s="13" t="n">
        <f aca="false">B$7*(1+A_pore*B$8*($A101/100))/(1-B$8*(1+((1-phimax_pore)/phimax_pore^2)*($A101/100))*($A101/100))</f>
        <v>0.0379530599597658</v>
      </c>
      <c r="D101" s="13" t="n">
        <f aca="false">D$5*(1+A_pore*D$6*($A101/100))/(1-D$6*(1+((1-phimax_pore)/phimax_pore^2)*($A101/100))*($A101/100))</f>
        <v>1.38955296872149</v>
      </c>
      <c r="E101" s="13" t="n">
        <f aca="false">D$7*(1+A_pore*D$8*($A101/100))/(1-D$8*(1+((1-phimax_pore)/phimax_pore^2)*($A101/100))*($A101/100))</f>
        <v>0.0407172743507523</v>
      </c>
      <c r="F101" s="13" t="n">
        <f aca="false">F$5*(1+A_pore*F$6*($A101/100))/(1-F$6*(1+((1-phimax_pore)/phimax_pore^2)*($A101/100))*($A101/100))</f>
        <v>1.41054574971087</v>
      </c>
      <c r="G101" s="13" t="n">
        <f aca="false">F$7*(1+A_pore*F$8*($A101/100))/(1-F$8*(1+((1-phimax_pore)/phimax_pore^2)*($A101/100))*($A101/100))</f>
        <v>0.047535662955529</v>
      </c>
      <c r="H101" s="13" t="n">
        <f aca="false">H$5*(1+A_pore*H$6*($A101/100))/(1-H$6*(1+((1-phimax_pore)/phimax_pore^2)*($A101/100))*($A101/100))</f>
        <v>1.43635227291285</v>
      </c>
      <c r="I101" s="13" t="n">
        <f aca="false">H$7*(1+A_pore*H$8*($A101/100))/(1-H$8*(1+((1-phimax_pore)/phimax_pore^2)*($A101/100))*($A101/100))</f>
        <v>0.0619427871235972</v>
      </c>
      <c r="J101" s="13" t="n">
        <f aca="false">J$5*(1+A_pore*J$6*($A101/100))/(1-J$6*(1+((1-phimax_pore)/phimax_pore^2)*($A101/100))*($A101/100))</f>
        <v>1.46921743320781</v>
      </c>
      <c r="K101" s="13" t="n">
        <f aca="false">J$7*(1+A_pore*J$8*($A101/100))/(1-J$8*(1+((1-phimax_pore)/phimax_pore^2)*($A101/100))*($A101/100))</f>
        <v>0.182822127862358</v>
      </c>
    </row>
    <row r="102" customFormat="false" ht="15" hidden="false" customHeight="false" outlineLevel="0" collapsed="false">
      <c r="A102" s="4" t="n">
        <v>65.5</v>
      </c>
      <c r="B102" s="13" t="n">
        <f aca="false">B$5*(1+A_pore*B$6*($A102/100))/(1-B$6*(1+((1-phimax_pore)/phimax_pore^2)*($A102/100))*($A102/100))</f>
        <v>1.37325515728852</v>
      </c>
      <c r="C102" s="13" t="n">
        <f aca="false">B$7*(1+A_pore*B$8*($A102/100))/(1-B$8*(1+((1-phimax_pore)/phimax_pore^2)*($A102/100))*($A102/100))</f>
        <v>0.037721587228922</v>
      </c>
      <c r="D102" s="13" t="n">
        <f aca="false">D$5*(1+A_pore*D$6*($A102/100))/(1-D$6*(1+((1-phimax_pore)/phimax_pore^2)*($A102/100))*($A102/100))</f>
        <v>1.38218838352179</v>
      </c>
      <c r="E102" s="13" t="n">
        <f aca="false">D$7*(1+A_pore*D$8*($A102/100))/(1-D$8*(1+((1-phimax_pore)/phimax_pore^2)*($A102/100))*($A102/100))</f>
        <v>0.0404249756555725</v>
      </c>
      <c r="F102" s="13" t="n">
        <f aca="false">F$5*(1+A_pore*F$6*($A102/100))/(1-F$6*(1+((1-phimax_pore)/phimax_pore^2)*($A102/100))*($A102/100))</f>
        <v>1.40272283776366</v>
      </c>
      <c r="G102" s="13" t="n">
        <f aca="false">F$7*(1+A_pore*F$8*($A102/100))/(1-F$8*(1+((1-phimax_pore)/phimax_pore^2)*($A102/100))*($A102/100))</f>
        <v>0.0470953104123228</v>
      </c>
      <c r="H102" s="13" t="n">
        <f aca="false">H$5*(1+A_pore*H$6*($A102/100))/(1-H$6*(1+((1-phimax_pore)/phimax_pore^2)*($A102/100))*($A102/100))</f>
        <v>1.42796355350341</v>
      </c>
      <c r="I102" s="13" t="n">
        <f aca="false">H$7*(1+A_pore*H$8*($A102/100))/(1-H$8*(1+((1-phimax_pore)/phimax_pore^2)*($A102/100))*($A102/100))</f>
        <v>0.0611956642758233</v>
      </c>
      <c r="J102" s="13" t="n">
        <f aca="false">J$5*(1+A_pore*J$6*($A102/100))/(1-J$6*(1+((1-phimax_pore)/phimax_pore^2)*($A102/100))*($A102/100))</f>
        <v>1.460105869172</v>
      </c>
      <c r="K102" s="13" t="n">
        <f aca="false">J$7*(1+A_pore*J$8*($A102/100))/(1-J$8*(1+((1-phimax_pore)/phimax_pore^2)*($A102/100))*($A102/100))</f>
        <v>0.179528542164616</v>
      </c>
    </row>
    <row r="103" customFormat="false" ht="15" hidden="false" customHeight="false" outlineLevel="0" collapsed="false">
      <c r="A103" s="4" t="n">
        <v>66</v>
      </c>
      <c r="B103" s="13" t="n">
        <f aca="false">B$5*(1+A_pore*B$6*($A103/100))/(1-B$6*(1+((1-phimax_pore)/phimax_pore^2)*($A103/100))*($A103/100))</f>
        <v>1.36615035889686</v>
      </c>
      <c r="C103" s="13" t="n">
        <f aca="false">B$7*(1+A_pore*B$8*($A103/100))/(1-B$8*(1+((1-phimax_pore)/phimax_pore^2)*($A103/100))*($A103/100))</f>
        <v>0.0374923446494131</v>
      </c>
      <c r="D103" s="13" t="n">
        <f aca="false">D$5*(1+A_pore*D$6*($A103/100))/(1-D$6*(1+((1-phimax_pore)/phimax_pore^2)*($A103/100))*($A103/100))</f>
        <v>1.3748876703436</v>
      </c>
      <c r="E103" s="13" t="n">
        <f aca="false">D$7*(1+A_pore*D$8*($A103/100))/(1-D$8*(1+((1-phimax_pore)/phimax_pore^2)*($A103/100))*($A103/100))</f>
        <v>0.0401358012833062</v>
      </c>
      <c r="F103" s="13" t="n">
        <f aca="false">F$5*(1+A_pore*F$6*($A103/100))/(1-F$6*(1+((1-phimax_pore)/phimax_pore^2)*($A103/100))*($A103/100))</f>
        <v>1.39497021228807</v>
      </c>
      <c r="G103" s="13" t="n">
        <f aca="false">F$7*(1+A_pore*F$8*($A103/100))/(1-F$8*(1+((1-phimax_pore)/phimax_pore^2)*($A103/100))*($A103/100))</f>
        <v>0.0466602373828072</v>
      </c>
      <c r="H103" s="13" t="n">
        <f aca="false">H$5*(1+A_pore*H$6*($A103/100))/(1-H$6*(1+((1-phimax_pore)/phimax_pore^2)*($A103/100))*($A103/100))</f>
        <v>1.41965318139755</v>
      </c>
      <c r="I103" s="13" t="n">
        <f aca="false">H$7*(1+A_pore*H$8*($A103/100))/(1-H$8*(1+((1-phimax_pore)/phimax_pore^2)*($A103/100))*($A103/100))</f>
        <v>0.0604581149058905</v>
      </c>
      <c r="J103" s="13" t="n">
        <f aca="false">J$5*(1+A_pore*J$6*($A103/100))/(1-J$6*(1+((1-phimax_pore)/phimax_pore^2)*($A103/100))*($A103/100))</f>
        <v>1.45108311824393</v>
      </c>
      <c r="K103" s="13" t="n">
        <f aca="false">J$7*(1+A_pore*J$8*($A103/100))/(1-J$8*(1+((1-phimax_pore)/phimax_pore^2)*($A103/100))*($A103/100))</f>
        <v>0.176279228338463</v>
      </c>
    </row>
    <row r="104" customFormat="false" ht="15" hidden="false" customHeight="false" outlineLevel="0" collapsed="false">
      <c r="A104" s="4" t="n">
        <v>66.5</v>
      </c>
      <c r="B104" s="13" t="n">
        <f aca="false">B$5*(1+A_pore*B$6*($A104/100))/(1-B$6*(1+((1-phimax_pore)/phimax_pore^2)*($A104/100))*($A104/100))</f>
        <v>1.35910591360561</v>
      </c>
      <c r="C104" s="13" t="n">
        <f aca="false">B$7*(1+A_pore*B$8*($A104/100))/(1-B$8*(1+((1-phimax_pore)/phimax_pore^2)*($A104/100))*($A104/100))</f>
        <v>0.037265300214829</v>
      </c>
      <c r="D104" s="13" t="n">
        <f aca="false">D$5*(1+A_pore*D$6*($A104/100))/(1-D$6*(1+((1-phimax_pore)/phimax_pore^2)*($A104/100))*($A104/100))</f>
        <v>1.36765000355817</v>
      </c>
      <c r="E104" s="13" t="n">
        <f aca="false">D$7*(1+A_pore*D$8*($A104/100))/(1-D$8*(1+((1-phimax_pore)/phimax_pore^2)*($A104/100))*($A104/100))</f>
        <v>0.0398497015249543</v>
      </c>
      <c r="F104" s="13" t="n">
        <f aca="false">F$5*(1+A_pore*F$6*($A104/100))/(1-F$6*(1+((1-phimax_pore)/phimax_pore^2)*($A104/100))*($A104/100))</f>
        <v>1.38728693223595</v>
      </c>
      <c r="G104" s="13" t="n">
        <f aca="false">F$7*(1+A_pore*F$8*($A104/100))/(1-F$8*(1+((1-phimax_pore)/phimax_pore^2)*($A104/100))*($A104/100))</f>
        <v>0.0462303497611167</v>
      </c>
      <c r="H104" s="13" t="n">
        <f aca="false">H$5*(1+A_pore*H$6*($A104/100))/(1-H$6*(1+((1-phimax_pore)/phimax_pore^2)*($A104/100))*($A104/100))</f>
        <v>1.41142006641244</v>
      </c>
      <c r="I104" s="13" t="n">
        <f aca="false">H$7*(1+A_pore*H$8*($A104/100))/(1-H$8*(1+((1-phimax_pore)/phimax_pore^2)*($A104/100))*($A104/100))</f>
        <v>0.059729956839171</v>
      </c>
      <c r="J104" s="13" t="n">
        <f aca="false">J$5*(1+A_pore*J$6*($A104/100))/(1-J$6*(1+((1-phimax_pore)/phimax_pore^2)*($A104/100))*($A104/100))</f>
        <v>1.44214789099226</v>
      </c>
      <c r="K104" s="13" t="n">
        <f aca="false">J$7*(1+A_pore*J$8*($A104/100))/(1-J$8*(1+((1-phimax_pore)/phimax_pore^2)*($A104/100))*($A104/100))</f>
        <v>0.173073303802594</v>
      </c>
    </row>
    <row r="105" customFormat="false" ht="15" hidden="false" customHeight="false" outlineLevel="0" collapsed="false">
      <c r="A105" s="4" t="n">
        <v>67</v>
      </c>
      <c r="B105" s="13" t="n">
        <f aca="false">B$5*(1+A_pore*B$6*($A105/100))/(1-B$6*(1+((1-phimax_pore)/phimax_pore^2)*($A105/100))*($A105/100))</f>
        <v>1.35212105724048</v>
      </c>
      <c r="C105" s="13" t="n">
        <f aca="false">B$7*(1+A_pore*B$8*($A105/100))/(1-B$8*(1+((1-phimax_pore)/phimax_pore^2)*($A105/100))*($A105/100))</f>
        <v>0.037040422528291</v>
      </c>
      <c r="D105" s="13" t="n">
        <f aca="false">D$5*(1+A_pore*D$6*($A105/100))/(1-D$6*(1+((1-phimax_pore)/phimax_pore^2)*($A105/100))*($A105/100))</f>
        <v>1.36047457170511</v>
      </c>
      <c r="E105" s="13" t="n">
        <f aca="false">D$7*(1+A_pore*D$8*($A105/100))/(1-D$8*(1+((1-phimax_pore)/phimax_pore^2)*($A105/100))*($A105/100))</f>
        <v>0.0395666277204461</v>
      </c>
      <c r="F105" s="13" t="n">
        <f aca="false">F$5*(1+A_pore*F$6*($A105/100))/(1-F$6*(1+((1-phimax_pore)/phimax_pore^2)*($A105/100))*($A105/100))</f>
        <v>1.37967207328341</v>
      </c>
      <c r="G105" s="13" t="n">
        <f aca="false">F$7*(1+A_pore*F$8*($A105/100))/(1-F$8*(1+((1-phimax_pore)/phimax_pore^2)*($A105/100))*($A105/100))</f>
        <v>0.0458055556646683</v>
      </c>
      <c r="H105" s="13" t="n">
        <f aca="false">H$5*(1+A_pore*H$6*($A105/100))/(1-H$6*(1+((1-phimax_pore)/phimax_pore^2)*($A105/100))*($A105/100))</f>
        <v>1.40326313849762</v>
      </c>
      <c r="I105" s="13" t="n">
        <f aca="false">H$7*(1+A_pore*H$8*($A105/100))/(1-H$8*(1+((1-phimax_pore)/phimax_pore^2)*($A105/100))*($A105/100))</f>
        <v>0.0590110124939289</v>
      </c>
      <c r="J105" s="13" t="n">
        <f aca="false">J$5*(1+A_pore*J$6*($A105/100))/(1-J$6*(1+((1-phimax_pore)/phimax_pore^2)*($A105/100))*($A105/100))</f>
        <v>1.4332989228257</v>
      </c>
      <c r="K105" s="13" t="n">
        <f aca="false">J$7*(1+A_pore*J$8*($A105/100))/(1-J$8*(1+((1-phimax_pore)/phimax_pore^2)*($A105/100))*($A105/100))</f>
        <v>0.169909909279605</v>
      </c>
    </row>
    <row r="106" customFormat="false" ht="15" hidden="false" customHeight="false" outlineLevel="0" collapsed="false">
      <c r="A106" s="4" t="n">
        <v>67.5</v>
      </c>
      <c r="B106" s="13" t="n">
        <f aca="false">B$5*(1+A_pore*B$6*($A106/100))/(1-B$6*(1+((1-phimax_pore)/phimax_pore^2)*($A106/100))*($A106/100))</f>
        <v>1.34519503847368</v>
      </c>
      <c r="C106" s="13" t="n">
        <f aca="false">B$7*(1+A_pore*B$8*($A106/100))/(1-B$8*(1+((1-phimax_pore)/phimax_pore^2)*($A106/100))*($A106/100))</f>
        <v>0.0368176807880096</v>
      </c>
      <c r="D106" s="13" t="n">
        <f aca="false">D$5*(1+A_pore*D$6*($A106/100))/(1-D$6*(1+((1-phimax_pore)/phimax_pore^2)*($A106/100))*($A106/100))</f>
        <v>1.3533605771898</v>
      </c>
      <c r="E106" s="13" t="n">
        <f aca="false">D$7*(1+A_pore*D$8*($A106/100))/(1-D$8*(1+((1-phimax_pore)/phimax_pore^2)*($A106/100))*($A106/100))</f>
        <v>0.0392865322311177</v>
      </c>
      <c r="F106" s="13" t="n">
        <f aca="false">F$5*(1+A_pore*F$6*($A106/100))/(1-F$6*(1+((1-phimax_pore)/phimax_pore^2)*($A106/100))*($A106/100))</f>
        <v>1.3721247274609</v>
      </c>
      <c r="G106" s="13" t="n">
        <f aca="false">F$7*(1+A_pore*F$8*($A106/100))/(1-F$8*(1+((1-phimax_pore)/phimax_pore^2)*($A106/100))*($A106/100))</f>
        <v>0.0453857653688904</v>
      </c>
      <c r="H106" s="13" t="n">
        <f aca="false">H$5*(1+A_pore*H$6*($A106/100))/(1-H$6*(1+((1-phimax_pore)/phimax_pore^2)*($A106/100))*($A106/100))</f>
        <v>1.39518134727229</v>
      </c>
      <c r="I106" s="13" t="n">
        <f aca="false">H$7*(1+A_pore*H$8*($A106/100))/(1-H$8*(1+((1-phimax_pore)/phimax_pore^2)*($A106/100))*($A106/100))</f>
        <v>0.0583011087374848</v>
      </c>
      <c r="J106" s="13" t="n">
        <f aca="false">J$5*(1+A_pore*J$6*($A106/100))/(1-J$6*(1+((1-phimax_pore)/phimax_pore^2)*($A106/100))*($A106/100))</f>
        <v>1.42453497339762</v>
      </c>
      <c r="K106" s="13" t="n">
        <f aca="false">J$7*(1+A_pore*J$8*($A106/100))/(1-J$8*(1+((1-phimax_pore)/phimax_pore^2)*($A106/100))*($A106/100))</f>
        <v>0.166788208031888</v>
      </c>
    </row>
    <row r="107" customFormat="false" ht="15" hidden="false" customHeight="false" outlineLevel="0" collapsed="false">
      <c r="A107" s="4" t="n">
        <v>68</v>
      </c>
      <c r="B107" s="13" t="n">
        <f aca="false">B$5*(1+A_pore*B$6*($A107/100))/(1-B$6*(1+((1-phimax_pore)/phimax_pore^2)*($A107/100))*($A107/100))</f>
        <v>1.33832711855505</v>
      </c>
      <c r="C107" s="13" t="n">
        <f aca="false">B$7*(1+A_pore*B$8*($A107/100))/(1-B$8*(1+((1-phimax_pore)/phimax_pore^2)*($A107/100))*($A107/100))</f>
        <v>0.036597044773253</v>
      </c>
      <c r="D107" s="13" t="n">
        <f aca="false">D$5*(1+A_pore*D$6*($A107/100))/(1-D$6*(1+((1-phimax_pore)/phimax_pore^2)*($A107/100))*($A107/100))</f>
        <v>1.34630723598841</v>
      </c>
      <c r="E107" s="13" t="n">
        <f aca="false">D$7*(1+A_pore*D$8*($A107/100))/(1-D$8*(1+((1-phimax_pore)/phimax_pore^2)*($A107/100))*($A107/100))</f>
        <v>0.0390093684130512</v>
      </c>
      <c r="F107" s="13" t="n">
        <f aca="false">F$5*(1+A_pore*F$6*($A107/100))/(1-F$6*(1+((1-phimax_pore)/phimax_pore^2)*($A107/100))*($A107/100))</f>
        <v>1.36464400279312</v>
      </c>
      <c r="G107" s="13" t="n">
        <f aca="false">F$7*(1+A_pore*F$8*($A107/100))/(1-F$8*(1+((1-phimax_pore)/phimax_pore^2)*($A107/100))*($A107/100))</f>
        <v>0.0449708912442366</v>
      </c>
      <c r="H107" s="13" t="n">
        <f aca="false">H$5*(1+A_pore*H$6*($A107/100))/(1-H$6*(1+((1-phimax_pore)/phimax_pore^2)*($A107/100))*($A107/100))</f>
        <v>1.3871736615755</v>
      </c>
      <c r="I107" s="13" t="n">
        <f aca="false">H$7*(1+A_pore*H$8*($A107/100))/(1-H$8*(1+((1-phimax_pore)/phimax_pore^2)*($A107/100))*($A107/100))</f>
        <v>0.0576000767477522</v>
      </c>
      <c r="J107" s="13" t="n">
        <f aca="false">J$5*(1+A_pore*J$6*($A107/100))/(1-J$6*(1+((1-phimax_pore)/phimax_pore^2)*($A107/100))*($A107/100))</f>
        <v>1.41585482602788</v>
      </c>
      <c r="K107" s="13" t="n">
        <f aca="false">J$7*(1+A_pore*J$8*($A107/100))/(1-J$8*(1+((1-phimax_pore)/phimax_pore^2)*($A107/100))*($A107/100))</f>
        <v>0.163707385127386</v>
      </c>
    </row>
    <row r="108" customFormat="false" ht="15" hidden="false" customHeight="false" outlineLevel="0" collapsed="false">
      <c r="A108" s="4" t="n">
        <v>68.5</v>
      </c>
      <c r="B108" s="13" t="n">
        <f aca="false">B$5*(1+A_pore*B$6*($A108/100))/(1-B$6*(1+((1-phimax_pore)/phimax_pore^2)*($A108/100))*($A108/100))</f>
        <v>1.33151657105002</v>
      </c>
      <c r="C108" s="13" t="n">
        <f aca="false">B$7*(1+A_pore*B$8*($A108/100))/(1-B$8*(1+((1-phimax_pore)/phimax_pore^2)*($A108/100))*($A108/100))</f>
        <v>0.0363784848307093</v>
      </c>
      <c r="D108" s="13" t="n">
        <f aca="false">D$5*(1+A_pore*D$6*($A108/100))/(1-D$6*(1+((1-phimax_pore)/phimax_pore^2)*($A108/100))*($A108/100))</f>
        <v>1.33931377736061</v>
      </c>
      <c r="E108" s="13" t="n">
        <f aca="false">D$7*(1+A_pore*D$8*($A108/100))/(1-D$8*(1+((1-phimax_pore)/phimax_pore^2)*($A108/100))*($A108/100))</f>
        <v>0.038735090591246</v>
      </c>
      <c r="F108" s="13" t="n">
        <f aca="false">F$5*(1+A_pore*F$6*($A108/100))/(1-F$6*(1+((1-phimax_pore)/phimax_pore^2)*($A108/100))*($A108/100))</f>
        <v>1.3572290229484</v>
      </c>
      <c r="G108" s="13" t="n">
        <f aca="false">F$7*(1+A_pore*F$8*($A108/100))/(1-F$8*(1+((1-phimax_pore)/phimax_pore^2)*($A108/100))*($A108/100))</f>
        <v>0.0445608476953936</v>
      </c>
      <c r="H108" s="13" t="n">
        <f aca="false">H$5*(1+A_pore*H$6*($A108/100))/(1-H$6*(1+((1-phimax_pore)/phimax_pore^2)*($A108/100))*($A108/100))</f>
        <v>1.37923906902854</v>
      </c>
      <c r="I108" s="13" t="n">
        <f aca="false">H$7*(1+A_pore*H$8*($A108/100))/(1-H$8*(1+((1-phimax_pore)/phimax_pore^2)*($A108/100))*($A108/100))</f>
        <v>0.056907751879913</v>
      </c>
      <c r="J108" s="13" t="n">
        <f aca="false">J$5*(1+A_pore*J$6*($A108/100))/(1-J$6*(1+((1-phimax_pore)/phimax_pore^2)*($A108/100))*($A108/100))</f>
        <v>1.40725728714098</v>
      </c>
      <c r="K108" s="13" t="n">
        <f aca="false">J$7*(1+A_pore*J$8*($A108/100))/(1-J$8*(1+((1-phimax_pore)/phimax_pore^2)*($A108/100))*($A108/100))</f>
        <v>0.160666646733878</v>
      </c>
    </row>
    <row r="109" customFormat="false" ht="15" hidden="false" customHeight="false" outlineLevel="0" collapsed="false">
      <c r="A109" s="4" t="n">
        <v>69</v>
      </c>
      <c r="B109" s="13" t="n">
        <f aca="false">B$5*(1+A_pore*B$6*($A109/100))/(1-B$6*(1+((1-phimax_pore)/phimax_pore^2)*($A109/100))*($A109/100))</f>
        <v>1.32476268158397</v>
      </c>
      <c r="C109" s="13" t="n">
        <f aca="false">B$7*(1+A_pore*B$8*($A109/100))/(1-B$8*(1+((1-phimax_pore)/phimax_pore^2)*($A109/100))*($A109/100))</f>
        <v>0.0361619718612316</v>
      </c>
      <c r="D109" s="13" t="n">
        <f aca="false">D$5*(1+A_pore*D$6*($A109/100))/(1-D$6*(1+((1-phimax_pore)/phimax_pore^2)*($A109/100))*($A109/100))</f>
        <v>1.33237944356931</v>
      </c>
      <c r="E109" s="13" t="n">
        <f aca="false">D$7*(1+A_pore*D$8*($A109/100))/(1-D$8*(1+((1-phimax_pore)/phimax_pore^2)*($A109/100))*($A109/100))</f>
        <v>0.0384636540345899</v>
      </c>
      <c r="F109" s="13" t="n">
        <f aca="false">F$5*(1+A_pore*F$6*($A109/100))/(1-F$6*(1+((1-phimax_pore)/phimax_pore^2)*($A109/100))*($A109/100))</f>
        <v>1.3498789268972</v>
      </c>
      <c r="G109" s="13" t="n">
        <f aca="false">F$7*(1+A_pore*F$8*($A109/100))/(1-F$8*(1+((1-phimax_pore)/phimax_pore^2)*($A109/100))*($A109/100))</f>
        <v>0.0441555511025934</v>
      </c>
      <c r="H109" s="13" t="n">
        <f aca="false">H$5*(1+A_pore*H$6*($A109/100))/(1-H$6*(1+((1-phimax_pore)/phimax_pore^2)*($A109/100))*($A109/100))</f>
        <v>1.37137657560917</v>
      </c>
      <c r="I109" s="13" t="n">
        <f aca="false">H$7*(1+A_pore*H$8*($A109/100))/(1-H$8*(1+((1-phimax_pore)/phimax_pore^2)*($A109/100))*($A109/100))</f>
        <v>0.056223973538011</v>
      </c>
      <c r="J109" s="13" t="n">
        <f aca="false">J$5*(1+A_pore*J$6*($A109/100))/(1-J$6*(1+((1-phimax_pore)/phimax_pore^2)*($A109/100))*($A109/100))</f>
        <v>1.39874118572029</v>
      </c>
      <c r="K109" s="13" t="n">
        <f aca="false">J$7*(1+A_pore*J$8*($A109/100))/(1-J$8*(1+((1-phimax_pore)/phimax_pore^2)*($A109/100))*($A109/100))</f>
        <v>0.157665219440479</v>
      </c>
    </row>
    <row r="110" customFormat="false" ht="15" hidden="false" customHeight="false" outlineLevel="0" collapsed="false">
      <c r="A110" s="4" t="n">
        <v>69.5</v>
      </c>
      <c r="B110" s="13" t="n">
        <f aca="false">B$5*(1+A_pore*B$6*($A110/100))/(1-B$6*(1+((1-phimax_pore)/phimax_pore^2)*($A110/100))*($A110/100))</f>
        <v>1.31806474759304</v>
      </c>
      <c r="C110" s="13" t="n">
        <f aca="false">B$7*(1+A_pore*B$8*($A110/100))/(1-B$8*(1+((1-phimax_pore)/phimax_pore^2)*($A110/100))*($A110/100))</f>
        <v>0.0359474773069527</v>
      </c>
      <c r="D110" s="13" t="n">
        <f aca="false">D$5*(1+A_pore*D$6*($A110/100))/(1-D$6*(1+((1-phimax_pore)/phimax_pore^2)*($A110/100))*($A110/100))</f>
        <v>1.32550348960769</v>
      </c>
      <c r="E110" s="13" t="n">
        <f aca="false">D$7*(1+A_pore*D$8*($A110/100))/(1-D$8*(1+((1-phimax_pore)/phimax_pore^2)*($A110/100))*($A110/100))</f>
        <v>0.0381950149316018</v>
      </c>
      <c r="F110" s="13" t="n">
        <f aca="false">F$5*(1+A_pore*F$6*($A110/100))/(1-F$6*(1+((1-phimax_pore)/phimax_pore^2)*($A110/100))*($A110/100))</f>
        <v>1.34259286857962</v>
      </c>
      <c r="G110" s="13" t="n">
        <f aca="false">F$7*(1+A_pore*F$8*($A110/100))/(1-F$8*(1+((1-phimax_pore)/phimax_pore^2)*($A110/100))*($A110/100))</f>
        <v>0.0437549197649455</v>
      </c>
      <c r="H110" s="13" t="n">
        <f aca="false">H$5*(1+A_pore*H$6*($A110/100))/(1-H$6*(1+((1-phimax_pore)/phimax_pore^2)*($A110/100))*($A110/100))</f>
        <v>1.36358520523755</v>
      </c>
      <c r="I110" s="13" t="n">
        <f aca="false">H$7*(1+A_pore*H$8*($A110/100))/(1-H$8*(1+((1-phimax_pore)/phimax_pore^2)*($A110/100))*($A110/100))</f>
        <v>0.0555485850512526</v>
      </c>
      <c r="J110" s="13" t="n">
        <f aca="false">J$5*(1+A_pore*J$6*($A110/100))/(1-J$6*(1+((1-phimax_pore)/phimax_pore^2)*($A110/100))*($A110/100))</f>
        <v>1.3903053727775</v>
      </c>
      <c r="K110" s="13" t="n">
        <f aca="false">J$7*(1+A_pore*J$8*($A110/100))/(1-J$8*(1+((1-phimax_pore)/phimax_pore^2)*($A110/100))*($A110/100))</f>
        <v>0.154702349605167</v>
      </c>
    </row>
    <row r="111" customFormat="false" ht="15" hidden="false" customHeight="false" outlineLevel="0" collapsed="false">
      <c r="A111" s="4" t="n">
        <v>70</v>
      </c>
      <c r="B111" s="13" t="n">
        <f aca="false">B$5*(1+A_pore*B$6*($A111/100))/(1-B$6*(1+((1-phimax_pore)/phimax_pore^2)*($A111/100))*($A111/100))</f>
        <v>1.31142207808104</v>
      </c>
      <c r="C111" s="13" t="n">
        <f aca="false">B$7*(1+A_pore*B$8*($A111/100))/(1-B$8*(1+((1-phimax_pore)/phimax_pore^2)*($A111/100))*($A111/100))</f>
        <v>0.035734973138758</v>
      </c>
      <c r="D111" s="13" t="n">
        <f aca="false">D$5*(1+A_pore*D$6*($A111/100))/(1-D$6*(1+((1-phimax_pore)/phimax_pore^2)*($A111/100))*($A111/100))</f>
        <v>1.31868518293291</v>
      </c>
      <c r="E111" s="13" t="n">
        <f aca="false">D$7*(1+A_pore*D$8*($A111/100))/(1-D$8*(1+((1-phimax_pore)/phimax_pore^2)*($A111/100))*($A111/100))</f>
        <v>0.0379291303669198</v>
      </c>
      <c r="F111" s="13" t="n">
        <f aca="false">F$5*(1+A_pore*F$6*($A111/100))/(1-F$6*(1+((1-phimax_pore)/phimax_pore^2)*($A111/100))*($A111/100))</f>
        <v>1.33537001658144</v>
      </c>
      <c r="G111" s="13" t="n">
        <f aca="false">F$7*(1+A_pore*F$8*($A111/100))/(1-F$8*(1+((1-phimax_pore)/phimax_pore^2)*($A111/100))*($A111/100))</f>
        <v>0.043358873845709</v>
      </c>
      <c r="H111" s="13" t="n">
        <f aca="false">H$5*(1+A_pore*H$6*($A111/100))/(1-H$6*(1+((1-phimax_pore)/phimax_pore^2)*($A111/100))*($A111/100))</f>
        <v>1.35586399937312</v>
      </c>
      <c r="I111" s="13" t="n">
        <f aca="false">H$7*(1+A_pore*H$8*($A111/100))/(1-H$8*(1+((1-phimax_pore)/phimax_pore^2)*($A111/100))*($A111/100))</f>
        <v>0.0548814335548159</v>
      </c>
      <c r="J111" s="13" t="n">
        <f aca="false">J$5*(1+A_pore*J$6*($A111/100))/(1-J$6*(1+((1-phimax_pore)/phimax_pore^2)*($A111/100))*($A111/100))</f>
        <v>1.38194872083716</v>
      </c>
      <c r="K111" s="13" t="n">
        <f aca="false">J$7*(1+A_pore*J$8*($A111/100))/(1-J$8*(1+((1-phimax_pore)/phimax_pore^2)*($A111/100))*($A111/100))</f>
        <v>0.151777302727164</v>
      </c>
    </row>
    <row r="112" customFormat="false" ht="15" hidden="false" customHeight="false" outlineLevel="0" collapsed="false">
      <c r="A112" s="4" t="n">
        <v>70.5</v>
      </c>
      <c r="B112" s="13" t="n">
        <f aca="false">B$5*(1+A_pore*B$6*($A112/100))/(1-B$6*(1+((1-phimax_pore)/phimax_pore^2)*($A112/100))*($A112/100))</f>
        <v>1.30483399338235</v>
      </c>
      <c r="C112" s="13" t="n">
        <f aca="false">B$7*(1+A_pore*B$8*($A112/100))/(1-B$8*(1+((1-phimax_pore)/phimax_pore^2)*($A112/100))*($A112/100))</f>
        <v>0.0355244318441043</v>
      </c>
      <c r="D112" s="13" t="n">
        <f aca="false">D$5*(1+A_pore*D$6*($A112/100))/(1-D$6*(1+((1-phimax_pore)/phimax_pore^2)*($A112/100))*($A112/100))</f>
        <v>1.31192380320658</v>
      </c>
      <c r="E112" s="13" t="n">
        <f aca="false">D$7*(1+A_pore*D$8*($A112/100))/(1-D$8*(1+((1-phimax_pore)/phimax_pore^2)*($A112/100))*($A112/100))</f>
        <v>0.0376659582985056</v>
      </c>
      <c r="F112" s="13" t="n">
        <f aca="false">F$5*(1+A_pore*F$6*($A112/100))/(1-F$6*(1+((1-phimax_pore)/phimax_pore^2)*($A112/100))*($A112/100))</f>
        <v>1.32820955381858</v>
      </c>
      <c r="G112" s="13" t="n">
        <f aca="false">F$7*(1+A_pore*F$8*($A112/100))/(1-F$8*(1+((1-phimax_pore)/phimax_pore^2)*($A112/100))*($A112/100))</f>
        <v>0.0429673353194266</v>
      </c>
      <c r="H112" s="13" t="n">
        <f aca="false">H$5*(1+A_pore*H$6*($A112/100))/(1-H$6*(1+((1-phimax_pore)/phimax_pore^2)*($A112/100))*($A112/100))</f>
        <v>1.34821201662251</v>
      </c>
      <c r="I112" s="13" t="n">
        <f aca="false">H$7*(1+A_pore*H$8*($A112/100))/(1-H$8*(1+((1-phimax_pore)/phimax_pore^2)*($A112/100))*($A112/100))</f>
        <v>0.0542223698749759</v>
      </c>
      <c r="J112" s="13" t="n">
        <f aca="false">J$5*(1+A_pore*J$6*($A112/100))/(1-J$6*(1+((1-phimax_pore)/phimax_pore^2)*($A112/100))*($A112/100))</f>
        <v>1.37367012343547</v>
      </c>
      <c r="K112" s="13" t="n">
        <f aca="false">J$7*(1+A_pore*J$8*($A112/100))/(1-J$8*(1+((1-phimax_pore)/phimax_pore^2)*($A112/100))*($A112/100))</f>
        <v>0.148889362843073</v>
      </c>
    </row>
    <row r="113" customFormat="false" ht="15" hidden="false" customHeight="false" outlineLevel="0" collapsed="false">
      <c r="A113" s="4" t="n">
        <v>71</v>
      </c>
      <c r="B113" s="13" t="n">
        <f aca="false">B$5*(1+A_pore*B$6*($A113/100))/(1-B$6*(1+((1-phimax_pore)/phimax_pore^2)*($A113/100))*($A113/100))</f>
        <v>1.29829982493062</v>
      </c>
      <c r="C113" s="13" t="n">
        <f aca="false">B$7*(1+A_pore*B$8*($A113/100))/(1-B$8*(1+((1-phimax_pore)/phimax_pore^2)*($A113/100))*($A113/100))</f>
        <v>0.035315826415174</v>
      </c>
      <c r="D113" s="13" t="n">
        <f aca="false">D$5*(1+A_pore*D$6*($A113/100))/(1-D$6*(1+((1-phimax_pore)/phimax_pore^2)*($A113/100))*($A113/100))</f>
        <v>1.30521864204161</v>
      </c>
      <c r="E113" s="13" t="n">
        <f aca="false">D$7*(1+A_pore*D$8*($A113/100))/(1-D$8*(1+((1-phimax_pore)/phimax_pore^2)*($A113/100))*($A113/100))</f>
        <v>0.0374054575355423</v>
      </c>
      <c r="F113" s="13" t="n">
        <f aca="false">F$5*(1+A_pore*F$6*($A113/100))/(1-F$6*(1+((1-phimax_pore)/phimax_pore^2)*($A113/100))*($A113/100))</f>
        <v>1.32111067722973</v>
      </c>
      <c r="G113" s="13" t="n">
        <f aca="false">F$7*(1+A_pore*F$8*($A113/100))/(1-F$8*(1+((1-phimax_pore)/phimax_pore^2)*($A113/100))*($A113/100))</f>
        <v>0.0425802279208478</v>
      </c>
      <c r="H113" s="13" t="n">
        <f aca="false">H$5*(1+A_pore*H$6*($A113/100))/(1-H$6*(1+((1-phimax_pore)/phimax_pore^2)*($A113/100))*($A113/100))</f>
        <v>1.34062833235774</v>
      </c>
      <c r="I113" s="13" t="n">
        <f aca="false">H$7*(1+A_pore*H$8*($A113/100))/(1-H$8*(1+((1-phimax_pore)/phimax_pore^2)*($A113/100))*($A113/100))</f>
        <v>0.0535712484183661</v>
      </c>
      <c r="J113" s="13" t="n">
        <f aca="false">J$5*(1+A_pore*J$6*($A113/100))/(1-J$6*(1+((1-phimax_pore)/phimax_pore^2)*($A113/100))*($A113/100))</f>
        <v>1.36546849463311</v>
      </c>
      <c r="K113" s="13" t="n">
        <f aca="false">J$7*(1+A_pore*J$8*($A113/100))/(1-J$8*(1+((1-phimax_pore)/phimax_pore^2)*($A113/100))*($A113/100))</f>
        <v>0.146037831945738</v>
      </c>
    </row>
    <row r="114" customFormat="false" ht="15" hidden="false" customHeight="false" outlineLevel="0" collapsed="false">
      <c r="A114" s="4" t="n">
        <v>71.5</v>
      </c>
      <c r="B114" s="13" t="n">
        <f aca="false">B$5*(1+A_pore*B$6*($A114/100))/(1-B$6*(1+((1-phimax_pore)/phimax_pore^2)*($A114/100))*($A114/100))</f>
        <v>1.29181891503314</v>
      </c>
      <c r="C114" s="13" t="n">
        <f aca="false">B$7*(1+A_pore*B$8*($A114/100))/(1-B$8*(1+((1-phimax_pore)/phimax_pore^2)*($A114/100))*($A114/100))</f>
        <v>0.0351091303373539</v>
      </c>
      <c r="D114" s="13" t="n">
        <f aca="false">D$5*(1+A_pore*D$6*($A114/100))/(1-D$6*(1+((1-phimax_pore)/phimax_pore^2)*($A114/100))*($A114/100))</f>
        <v>1.29856900275543</v>
      </c>
      <c r="E114" s="13" t="n">
        <f aca="false">D$7*(1+A_pore*D$8*($A114/100))/(1-D$8*(1+((1-phimax_pore)/phimax_pore^2)*($A114/100))*($A114/100))</f>
        <v>0.0371475877169996</v>
      </c>
      <c r="F114" s="13" t="n">
        <f aca="false">F$5*(1+A_pore*F$6*($A114/100))/(1-F$6*(1+((1-phimax_pore)/phimax_pore^2)*($A114/100))*($A114/100))</f>
        <v>1.31407259747678</v>
      </c>
      <c r="G114" s="13" t="n">
        <f aca="false">F$7*(1+A_pore*F$8*($A114/100))/(1-F$8*(1+((1-phimax_pore)/phimax_pore^2)*($A114/100))*($A114/100))</f>
        <v>0.042197477095571</v>
      </c>
      <c r="H114" s="13" t="n">
        <f aca="false">H$5*(1+A_pore*H$6*($A114/100))/(1-H$6*(1+((1-phimax_pore)/phimax_pore^2)*($A114/100))*($A114/100))</f>
        <v>1.33311203834467</v>
      </c>
      <c r="I114" s="13" t="n">
        <f aca="false">H$7*(1+A_pore*H$8*($A114/100))/(1-H$8*(1+((1-phimax_pore)/phimax_pore^2)*($A114/100))*($A114/100))</f>
        <v>0.0529279270652022</v>
      </c>
      <c r="J114" s="13" t="n">
        <f aca="false">J$5*(1+A_pore*J$6*($A114/100))/(1-J$6*(1+((1-phimax_pore)/phimax_pore^2)*($A114/100))*($A114/100))</f>
        <v>1.35734276854155</v>
      </c>
      <c r="K114" s="13" t="n">
        <f aca="false">J$7*(1+A_pore*J$8*($A114/100))/(1-J$8*(1+((1-phimax_pore)/phimax_pore^2)*($A114/100))*($A114/100))</f>
        <v>0.143222029424825</v>
      </c>
    </row>
    <row r="115" customFormat="false" ht="15" hidden="false" customHeight="false" outlineLevel="0" collapsed="false">
      <c r="A115" s="4" t="n">
        <v>72</v>
      </c>
      <c r="B115" s="13" t="n">
        <f aca="false">B$5*(1+A_pore*B$6*($A115/100))/(1-B$6*(1+((1-phimax_pore)/phimax_pore^2)*($A115/100))*($A115/100))</f>
        <v>1.28539061665064</v>
      </c>
      <c r="C115" s="13" t="n">
        <f aca="false">B$7*(1+A_pore*B$8*($A115/100))/(1-B$8*(1+((1-phimax_pore)/phimax_pore^2)*($A115/100))*($A115/100))</f>
        <v>0.034904317578028</v>
      </c>
      <c r="D115" s="13" t="n">
        <f aca="false">D$5*(1+A_pore*D$6*($A115/100))/(1-D$6*(1+((1-phimax_pore)/phimax_pore^2)*($A115/100))*($A115/100))</f>
        <v>1.29197420012922</v>
      </c>
      <c r="E115" s="13" t="n">
        <f aca="false">D$7*(1+A_pore*D$8*($A115/100))/(1-D$8*(1+((1-phimax_pore)/phimax_pore^2)*($A115/100))*($A115/100))</f>
        <v>0.0368923092908433</v>
      </c>
      <c r="F115" s="13" t="n">
        <f aca="false">F$5*(1+A_pore*F$6*($A115/100))/(1-F$6*(1+((1-phimax_pore)/phimax_pore^2)*($A115/100))*($A115/100))</f>
        <v>1.30709453865291</v>
      </c>
      <c r="G115" s="13" t="n">
        <f aca="false">F$7*(1+A_pore*F$8*($A115/100))/(1-F$8*(1+((1-phimax_pore)/phimax_pore^2)*($A115/100))*($A115/100))</f>
        <v>0.0418190099523367</v>
      </c>
      <c r="H115" s="13" t="n">
        <f aca="false">H$5*(1+A_pore*H$6*($A115/100))/(1-H$6*(1+((1-phimax_pore)/phimax_pore^2)*($A115/100))*($A115/100))</f>
        <v>1.32566224238131</v>
      </c>
      <c r="I115" s="13" t="n">
        <f aca="false">H$7*(1+A_pore*H$8*($A115/100))/(1-H$8*(1+((1-phimax_pore)/phimax_pore^2)*($A115/100))*($A115/100))</f>
        <v>0.0522922670663057</v>
      </c>
      <c r="J115" s="13" t="n">
        <f aca="false">J$5*(1+A_pore*J$6*($A115/100))/(1-J$6*(1+((1-phimax_pore)/phimax_pore^2)*($A115/100))*($A115/100))</f>
        <v>1.34929189886235</v>
      </c>
      <c r="K115" s="13" t="n">
        <f aca="false">J$7*(1+A_pore*J$8*($A115/100))/(1-J$8*(1+((1-phimax_pore)/phimax_pore^2)*($A115/100))*($A115/100))</f>
        <v>0.140441291528193</v>
      </c>
    </row>
    <row r="116" customFormat="false" ht="15" hidden="false" customHeight="false" outlineLevel="0" collapsed="false">
      <c r="A116" s="4" t="n">
        <v>72.5</v>
      </c>
      <c r="B116" s="13" t="n">
        <f aca="false">B$5*(1+A_pore*B$6*($A116/100))/(1-B$6*(1+((1-phimax_pore)/phimax_pore^2)*($A116/100))*($A116/100))</f>
        <v>1.27901429318248</v>
      </c>
      <c r="C116" s="13" t="n">
        <f aca="false">B$7*(1+A_pore*B$8*($A116/100))/(1-B$8*(1+((1-phimax_pore)/phimax_pore^2)*($A116/100))*($A116/100))</f>
        <v>0.0347013625756742</v>
      </c>
      <c r="D116" s="13" t="n">
        <f aca="false">D$5*(1+A_pore*D$6*($A116/100))/(1-D$6*(1+((1-phimax_pore)/phimax_pore^2)*($A116/100))*($A116/100))</f>
        <v>1.28543356017305</v>
      </c>
      <c r="E116" s="13" t="n">
        <f aca="false">D$7*(1+A_pore*D$8*($A116/100))/(1-D$8*(1+((1-phimax_pore)/phimax_pore^2)*($A116/100))*($A116/100))</f>
        <v>0.0366395834938671</v>
      </c>
      <c r="F116" s="13" t="n">
        <f aca="false">F$5*(1+A_pore*F$6*($A116/100))/(1-F$6*(1+((1-phimax_pore)/phimax_pore^2)*($A116/100))*($A116/100))</f>
        <v>1.30017573799816</v>
      </c>
      <c r="G116" s="13" t="n">
        <f aca="false">F$7*(1+A_pore*F$8*($A116/100))/(1-F$8*(1+((1-phimax_pore)/phimax_pore^2)*($A116/100))*($A116/100))</f>
        <v>0.0414447552169088</v>
      </c>
      <c r="H116" s="13" t="n">
        <f aca="false">H$5*(1+A_pore*H$6*($A116/100))/(1-H$6*(1+((1-phimax_pore)/phimax_pore^2)*($A116/100))*($A116/100))</f>
        <v>1.31827806794557</v>
      </c>
      <c r="I116" s="13" t="n">
        <f aca="false">H$7*(1+A_pore*H$8*($A116/100))/(1-H$8*(1+((1-phimax_pore)/phimax_pore^2)*($A116/100))*($A116/100))</f>
        <v>0.0516641329437682</v>
      </c>
      <c r="J116" s="13" t="n">
        <f aca="false">J$5*(1+A_pore*J$6*($A116/100))/(1-J$6*(1+((1-phimax_pore)/phimax_pore^2)*($A116/100))*($A116/100))</f>
        <v>1.34131485843924</v>
      </c>
      <c r="K116" s="13" t="n">
        <f aca="false">J$7*(1+A_pore*J$8*($A116/100))/(1-J$8*(1+((1-phimax_pore)/phimax_pore^2)*($A116/100))*($A116/100))</f>
        <v>0.137694970843147</v>
      </c>
    </row>
    <row r="117" customFormat="false" ht="15" hidden="false" customHeight="false" outlineLevel="0" collapsed="false">
      <c r="A117" s="4" t="n">
        <v>73</v>
      </c>
      <c r="B117" s="13" t="n">
        <f aca="false">B$5*(1+A_pore*B$6*($A117/100))/(1-B$6*(1+((1-phimax_pore)/phimax_pore^2)*($A117/100))*($A117/100))</f>
        <v>1.27268931825699</v>
      </c>
      <c r="C117" s="13" t="n">
        <f aca="false">B$7*(1+A_pore*B$8*($A117/100))/(1-B$8*(1+((1-phimax_pore)/phimax_pore^2)*($A117/100))*($A117/100))</f>
        <v>0.0345002402292565</v>
      </c>
      <c r="D117" s="13" t="n">
        <f aca="false">D$5*(1+A_pore*D$6*($A117/100))/(1-D$6*(1+((1-phimax_pore)/phimax_pore^2)*($A117/100))*($A117/100))</f>
        <v>1.27894641989687</v>
      </c>
      <c r="E117" s="13" t="n">
        <f aca="false">D$7*(1+A_pore*D$8*($A117/100))/(1-D$8*(1+((1-phimax_pore)/phimax_pore^2)*($A117/100))*($A117/100))</f>
        <v>0.0363893723321247</v>
      </c>
      <c r="F117" s="13" t="n">
        <f aca="false">F$5*(1+A_pore*F$6*($A117/100))/(1-F$6*(1+((1-phimax_pore)/phimax_pore^2)*($A117/100))*($A117/100))</f>
        <v>1.29331544562214</v>
      </c>
      <c r="G117" s="13" t="n">
        <f aca="false">F$7*(1+A_pore*F$8*($A117/100))/(1-F$8*(1+((1-phimax_pore)/phimax_pore^2)*($A117/100))*($A117/100))</f>
        <v>0.0410746431874814</v>
      </c>
      <c r="H117" s="13" t="n">
        <f aca="false">H$5*(1+A_pore*H$6*($A117/100))/(1-H$6*(1+((1-phimax_pore)/phimax_pore^2)*($A117/100))*($A117/100))</f>
        <v>1.31095865385235</v>
      </c>
      <c r="I117" s="13" t="n">
        <f aca="false">H$7*(1+A_pore*H$8*($A117/100))/(1-H$8*(1+((1-phimax_pore)/phimax_pore^2)*($A117/100))*($A117/100))</f>
        <v>0.0510433923951083</v>
      </c>
      <c r="J117" s="13" t="n">
        <f aca="false">J$5*(1+A_pore*J$6*($A117/100))/(1-J$6*(1+((1-phimax_pore)/phimax_pore^2)*($A117/100))*($A117/100))</f>
        <v>1.33341063882227</v>
      </c>
      <c r="K117" s="13" t="n">
        <f aca="false">J$7*(1+A_pore*J$8*($A117/100))/(1-J$8*(1+((1-phimax_pore)/phimax_pore^2)*($A117/100))*($A117/100))</f>
        <v>0.134982435796735</v>
      </c>
    </row>
    <row r="118" customFormat="false" ht="15" hidden="false" customHeight="false" outlineLevel="0" collapsed="false">
      <c r="A118" s="4" t="n">
        <v>73.5</v>
      </c>
      <c r="B118" s="13" t="n">
        <f aca="false">B$5*(1+A_pore*B$6*($A118/100))/(1-B$6*(1+((1-phimax_pore)/phimax_pore^2)*($A118/100))*($A118/100))</f>
        <v>1.26641507552683</v>
      </c>
      <c r="C118" s="13" t="n">
        <f aca="false">B$7*(1+A_pore*B$8*($A118/100))/(1-B$8*(1+((1-phimax_pore)/phimax_pore^2)*($A118/100))*($A118/100))</f>
        <v>0.0343009258879018</v>
      </c>
      <c r="D118" s="13" t="n">
        <f aca="false">D$5*(1+A_pore*D$6*($A118/100))/(1-D$6*(1+((1-phimax_pore)/phimax_pore^2)*($A118/100))*($A118/100))</f>
        <v>1.27251212708696</v>
      </c>
      <c r="E118" s="13" t="n">
        <f aca="false">D$7*(1+A_pore*D$8*($A118/100))/(1-D$8*(1+((1-phimax_pore)/phimax_pore^2)*($A118/100))*($A118/100))</f>
        <v>0.0361416385619414</v>
      </c>
      <c r="F118" s="13" t="n">
        <f aca="false">F$5*(1+A_pore*F$6*($A118/100))/(1-F$6*(1+((1-phimax_pore)/phimax_pore^2)*($A118/100))*($A118/100))</f>
        <v>1.28651292423373</v>
      </c>
      <c r="G118" s="13" t="n">
        <f aca="false">F$7*(1+A_pore*F$8*($A118/100))/(1-F$8*(1+((1-phimax_pore)/phimax_pore^2)*($A118/100))*($A118/100))</f>
        <v>0.040708605691554</v>
      </c>
      <c r="H118" s="13" t="n">
        <f aca="false">H$5*(1+A_pore*H$6*($A118/100))/(1-H$6*(1+((1-phimax_pore)/phimax_pore^2)*($A118/100))*($A118/100))</f>
        <v>1.30370315391954</v>
      </c>
      <c r="I118" s="13" t="n">
        <f aca="false">H$7*(1+A_pore*H$8*($A118/100))/(1-H$8*(1+((1-phimax_pore)/phimax_pore^2)*($A118/100))*($A118/100))</f>
        <v>0.0504299162007791</v>
      </c>
      <c r="J118" s="13" t="n">
        <f aca="false">J$5*(1+A_pore*J$6*($A118/100))/(1-J$6*(1+((1-phimax_pore)/phimax_pore^2)*($A118/100))*($A118/100))</f>
        <v>1.32557824984396</v>
      </c>
      <c r="K118" s="13" t="n">
        <f aca="false">J$7*(1+A_pore*J$8*($A118/100))/(1-J$8*(1+((1-phimax_pore)/phimax_pore^2)*($A118/100))*($A118/100))</f>
        <v>0.132303070174272</v>
      </c>
    </row>
    <row r="119" customFormat="false" ht="15" hidden="false" customHeight="false" outlineLevel="0" collapsed="false">
      <c r="A119" s="4" t="n">
        <v>74</v>
      </c>
      <c r="B119" s="13" t="n">
        <f aca="false">B$5*(1+A_pore*B$6*($A119/100))/(1-B$6*(1+((1-phimax_pore)/phimax_pore^2)*($A119/100))*($A119/100))</f>
        <v>1.26019095846924</v>
      </c>
      <c r="C119" s="13" t="n">
        <f aca="false">B$7*(1+A_pore*B$8*($A119/100))/(1-B$8*(1+((1-phimax_pore)/phimax_pore^2)*($A119/100))*($A119/100))</f>
        <v>0.0341033953408534</v>
      </c>
      <c r="D119" s="13" t="n">
        <f aca="false">D$5*(1+A_pore*D$6*($A119/100))/(1-D$6*(1+((1-phimax_pore)/phimax_pore^2)*($A119/100))*($A119/100))</f>
        <v>1.2661300400879</v>
      </c>
      <c r="E119" s="13" t="n">
        <f aca="false">D$7*(1+A_pore*D$8*($A119/100))/(1-D$8*(1+((1-phimax_pore)/phimax_pore^2)*($A119/100))*($A119/100))</f>
        <v>0.0358963456714855</v>
      </c>
      <c r="F119" s="13" t="n">
        <f aca="false">F$5*(1+A_pore*F$6*($A119/100))/(1-F$6*(1+((1-phimax_pore)/phimax_pore^2)*($A119/100))*($A119/100))</f>
        <v>1.27976744887759</v>
      </c>
      <c r="G119" s="13" t="n">
        <f aca="false">F$7*(1+A_pore*F$8*($A119/100))/(1-F$8*(1+((1-phimax_pore)/phimax_pore^2)*($A119/100))*($A119/100))</f>
        <v>0.0403465760442174</v>
      </c>
      <c r="H119" s="13" t="n">
        <f aca="false">H$5*(1+A_pore*H$6*($A119/100))/(1-H$6*(1+((1-phimax_pore)/phimax_pore^2)*($A119/100))*($A119/100))</f>
        <v>1.29651073664271</v>
      </c>
      <c r="I119" s="13" t="n">
        <f aca="false">H$7*(1+A_pore*H$8*($A119/100))/(1-H$8*(1+((1-phimax_pore)/phimax_pore^2)*($A119/100))*($A119/100))</f>
        <v>0.0498235781348893</v>
      </c>
      <c r="J119" s="13" t="n">
        <f aca="false">J$5*(1+A_pore*J$6*($A119/100))/(1-J$6*(1+((1-phimax_pore)/phimax_pore^2)*($A119/100))*($A119/100))</f>
        <v>1.31781671920681</v>
      </c>
      <c r="K119" s="13" t="n">
        <f aca="false">J$7*(1+A_pore*J$8*($A119/100))/(1-J$8*(1+((1-phimax_pore)/phimax_pore^2)*($A119/100))*($A119/100))</f>
        <v>0.129656272655313</v>
      </c>
    </row>
    <row r="120" customFormat="false" ht="15" hidden="false" customHeight="false" outlineLevel="0" collapsed="false">
      <c r="A120" s="4" t="n">
        <v>74.5</v>
      </c>
      <c r="B120" s="13" t="n">
        <f aca="false">B$5*(1+A_pore*B$6*($A120/100))/(1-B$6*(1+((1-phimax_pore)/phimax_pore^2)*($A120/100))*($A120/100))</f>
        <v>1.2540163701911</v>
      </c>
      <c r="C120" s="13" t="n">
        <f aca="false">B$7*(1+A_pore*B$8*($A120/100))/(1-B$8*(1+((1-phimax_pore)/phimax_pore^2)*($A120/100))*($A120/100))</f>
        <v>0.0339076248076922</v>
      </c>
      <c r="D120" s="13" t="n">
        <f aca="false">D$5*(1+A_pore*D$6*($A120/100))/(1-D$6*(1+((1-phimax_pore)/phimax_pore^2)*($A120/100))*($A120/100))</f>
        <v>1.25979952758978</v>
      </c>
      <c r="E120" s="13" t="n">
        <f aca="false">D$7*(1+A_pore*D$8*($A120/100))/(1-D$8*(1+((1-phimax_pore)/phimax_pore^2)*($A120/100))*($A120/100))</f>
        <v>0.03565345786288</v>
      </c>
      <c r="F120" s="13" t="n">
        <f aca="false">F$5*(1+A_pore*F$6*($A120/100))/(1-F$6*(1+((1-phimax_pore)/phimax_pore^2)*($A120/100))*($A120/100))</f>
        <v>1.27307830667727</v>
      </c>
      <c r="G120" s="13" t="n">
        <f aca="false">F$7*(1+A_pore*F$8*($A120/100))/(1-F$8*(1+((1-phimax_pore)/phimax_pore^2)*($A120/100))*($A120/100))</f>
        <v>0.0399884890077983</v>
      </c>
      <c r="H120" s="13" t="n">
        <f aca="false">H$5*(1+A_pore*H$6*($A120/100))/(1-H$6*(1+((1-phimax_pore)/phimax_pore^2)*($A120/100))*($A120/100))</f>
        <v>1.28938058487827</v>
      </c>
      <c r="I120" s="13" t="n">
        <f aca="false">H$7*(1+A_pore*H$8*($A120/100))/(1-H$8*(1+((1-phimax_pore)/phimax_pore^2)*($A120/100))*($A120/100))</f>
        <v>0.0492242548790091</v>
      </c>
      <c r="J120" s="13" t="n">
        <f aca="false">J$5*(1+A_pore*J$6*($A120/100))/(1-J$6*(1+((1-phimax_pore)/phimax_pore^2)*($A120/100))*($A120/100))</f>
        <v>1.31012509208203</v>
      </c>
      <c r="K120" s="13" t="n">
        <f aca="false">J$7*(1+A_pore*J$8*($A120/100))/(1-J$8*(1+((1-phimax_pore)/phimax_pore^2)*($A120/100))*($A120/100))</f>
        <v>0.127041456366357</v>
      </c>
    </row>
    <row r="121" customFormat="false" ht="15" hidden="false" customHeight="false" outlineLevel="0" collapsed="false">
      <c r="A121" s="4" t="n">
        <v>75</v>
      </c>
      <c r="B121" s="13" t="n">
        <f aca="false">B$5*(1+A_pore*B$6*($A121/100))/(1-B$6*(1+((1-phimax_pore)/phimax_pore^2)*($A121/100))*($A121/100))</f>
        <v>1.24789072323855</v>
      </c>
      <c r="C121" s="13" t="n">
        <f aca="false">B$7*(1+A_pore*B$8*($A121/100))/(1-B$8*(1+((1-phimax_pore)/phimax_pore^2)*($A121/100))*($A121/100))</f>
        <v>0.033713590928818</v>
      </c>
      <c r="D121" s="13" t="n">
        <f aca="false">D$5*(1+A_pore*D$6*($A121/100))/(1-D$6*(1+((1-phimax_pore)/phimax_pore^2)*($A121/100))*($A121/100))</f>
        <v>1.2535199684205</v>
      </c>
      <c r="E121" s="13" t="n">
        <f aca="false">D$7*(1+A_pore*D$8*($A121/100))/(1-D$8*(1+((1-phimax_pore)/phimax_pore^2)*($A121/100))*($A121/100))</f>
        <v>0.0354129400348367</v>
      </c>
      <c r="F121" s="13" t="n">
        <f aca="false">F$5*(1+A_pore*F$6*($A121/100))/(1-F$6*(1+((1-phimax_pore)/phimax_pore^2)*($A121/100))*($A121/100))</f>
        <v>1.26644479658462</v>
      </c>
      <c r="G121" s="13" t="n">
        <f aca="false">F$7*(1+A_pore*F$8*($A121/100))/(1-F$8*(1+((1-phimax_pore)/phimax_pore^2)*($A121/100))*($A121/100))</f>
        <v>0.0396342807528099</v>
      </c>
      <c r="H121" s="13" t="n">
        <f aca="false">H$5*(1+A_pore*H$6*($A121/100))/(1-H$6*(1+((1-phimax_pore)/phimax_pore^2)*($A121/100))*($A121/100))</f>
        <v>1.28231189553472</v>
      </c>
      <c r="I121" s="13" t="n">
        <f aca="false">H$7*(1+A_pore*H$8*($A121/100))/(1-H$8*(1+((1-phimax_pore)/phimax_pore^2)*($A121/100))*($A121/100))</f>
        <v>0.0486318259389375</v>
      </c>
      <c r="J121" s="13" t="n">
        <f aca="false">J$5*(1+A_pore*J$6*($A121/100))/(1-J$6*(1+((1-phimax_pore)/phimax_pore^2)*($A121/100))*($A121/100))</f>
        <v>1.30250243071892</v>
      </c>
      <c r="K121" s="13" t="n">
        <f aca="false">J$7*(1+A_pore*J$8*($A121/100))/(1-J$8*(1+((1-phimax_pore)/phimax_pore^2)*($A121/100))*($A121/100))</f>
        <v>0.124458048449571</v>
      </c>
    </row>
    <row r="122" customFormat="false" ht="15" hidden="false" customHeight="false" outlineLevel="0" collapsed="false">
      <c r="A122" s="4" t="n">
        <v>75.5</v>
      </c>
      <c r="B122" s="13" t="n">
        <f aca="false">B$5*(1+A_pore*B$6*($A122/100))/(1-B$6*(1+((1-phimax_pore)/phimax_pore^2)*($A122/100))*($A122/100))</f>
        <v>1.24181343941113</v>
      </c>
      <c r="C122" s="13" t="n">
        <f aca="false">B$7*(1+A_pore*B$8*($A122/100))/(1-B$8*(1+((1-phimax_pore)/phimax_pore^2)*($A122/100))*($A122/100))</f>
        <v>0.0335212707561814</v>
      </c>
      <c r="D122" s="13" t="n">
        <f aca="false">D$5*(1+A_pore*D$6*($A122/100))/(1-D$6*(1+((1-phimax_pore)/phimax_pore^2)*($A122/100))*($A122/100))</f>
        <v>1.24729075134313</v>
      </c>
      <c r="E122" s="13" t="n">
        <f aca="false">D$7*(1+A_pore*D$8*($A122/100))/(1-D$8*(1+((1-phimax_pore)/phimax_pore^2)*($A122/100))*($A122/100))</f>
        <v>0.0351747577657948</v>
      </c>
      <c r="F122" s="13" t="n">
        <f aca="false">F$5*(1+A_pore*F$6*($A122/100))/(1-F$6*(1+((1-phimax_pore)/phimax_pore^2)*($A122/100))*($A122/100))</f>
        <v>1.25986622913557</v>
      </c>
      <c r="G122" s="13" t="n">
        <f aca="false">F$7*(1+A_pore*F$8*($A122/100))/(1-F$8*(1+((1-phimax_pore)/phimax_pore^2)*($A122/100))*($A122/100))</f>
        <v>0.0392838888201607</v>
      </c>
      <c r="H122" s="13" t="n">
        <f aca="false">H$5*(1+A_pore*H$6*($A122/100))/(1-H$6*(1+((1-phimax_pore)/phimax_pore^2)*($A122/100))*($A122/100))</f>
        <v>1.27530387927195</v>
      </c>
      <c r="I122" s="13" t="n">
        <f aca="false">H$7*(1+A_pore*H$8*($A122/100))/(1-H$8*(1+((1-phimax_pore)/phimax_pore^2)*($A122/100))*($A122/100))</f>
        <v>0.0480461735643117</v>
      </c>
      <c r="J122" s="13" t="n">
        <f aca="false">J$5*(1+A_pore*J$6*($A122/100))/(1-J$6*(1+((1-phimax_pore)/phimax_pore^2)*($A122/100))*($A122/100))</f>
        <v>1.29494781406479</v>
      </c>
      <c r="K122" s="13" t="n">
        <f aca="false">J$7*(1+A_pore*J$8*($A122/100))/(1-J$8*(1+((1-phimax_pore)/phimax_pore^2)*($A122/100))*($A122/100))</f>
        <v>0.12190548964687</v>
      </c>
    </row>
    <row r="123" customFormat="false" ht="15" hidden="false" customHeight="false" outlineLevel="0" collapsed="false">
      <c r="A123" s="4" t="n">
        <v>76</v>
      </c>
      <c r="B123" s="13" t="n">
        <f aca="false">B$5*(1+A_pore*B$6*($A123/100))/(1-B$6*(1+((1-phimax_pore)/phimax_pore^2)*($A123/100))*($A123/100))</f>
        <v>1.23578394958032</v>
      </c>
      <c r="C123" s="13" t="n">
        <f aca="false">B$7*(1+A_pore*B$8*($A123/100))/(1-B$8*(1+((1-phimax_pore)/phimax_pore^2)*($A123/100))*($A123/100))</f>
        <v>0.0333306417442609</v>
      </c>
      <c r="D123" s="13" t="n">
        <f aca="false">D$5*(1+A_pore*D$6*($A123/100))/(1-D$6*(1+((1-phimax_pore)/phimax_pore^2)*($A123/100))*($A123/100))</f>
        <v>1.24111127485803</v>
      </c>
      <c r="E123" s="13" t="n">
        <f aca="false">D$7*(1+A_pore*D$8*($A123/100))/(1-D$8*(1+((1-phimax_pore)/phimax_pore^2)*($A123/100))*($A123/100))</f>
        <v>0.0349388772975464</v>
      </c>
      <c r="F123" s="13" t="n">
        <f aca="false">F$5*(1+A_pore*F$6*($A123/100))/(1-F$6*(1+((1-phimax_pore)/phimax_pore^2)*($A123/100))*($A123/100))</f>
        <v>1.25334192621176</v>
      </c>
      <c r="G123" s="13" t="n">
        <f aca="false">F$7*(1+A_pore*F$8*($A123/100))/(1-F$8*(1+((1-phimax_pore)/phimax_pore^2)*($A123/100))*($A123/100))</f>
        <v>0.0389372520845732</v>
      </c>
      <c r="H123" s="13" t="n">
        <f aca="false">H$5*(1+A_pore*H$6*($A123/100))/(1-H$6*(1+((1-phimax_pore)/phimax_pore^2)*($A123/100))*($A123/100))</f>
        <v>1.2683557602081</v>
      </c>
      <c r="I123" s="13" t="n">
        <f aca="false">H$7*(1+A_pore*H$8*($A123/100))/(1-H$8*(1+((1-phimax_pore)/phimax_pore^2)*($A123/100))*($A123/100))</f>
        <v>0.047467182670948</v>
      </c>
      <c r="J123" s="13" t="n">
        <f aca="false">J$5*(1+A_pore*J$6*($A123/100))/(1-J$6*(1+((1-phimax_pore)/phimax_pore^2)*($A123/100))*($A123/100))</f>
        <v>1.28746033739494</v>
      </c>
      <c r="K123" s="13" t="n">
        <f aca="false">J$7*(1+A_pore*J$8*($A123/100))/(1-J$8*(1+((1-phimax_pore)/phimax_pore^2)*($A123/100))*($A123/100))</f>
        <v>0.119383233898726</v>
      </c>
    </row>
    <row r="124" customFormat="false" ht="15" hidden="false" customHeight="false" outlineLevel="0" collapsed="false">
      <c r="A124" s="4" t="n">
        <v>76.5</v>
      </c>
      <c r="B124" s="13" t="n">
        <f aca="false">B$5*(1+A_pore*B$6*($A124/100))/(1-B$6*(1+((1-phimax_pore)/phimax_pore^2)*($A124/100))*($A124/100))</f>
        <v>1.22980169351228</v>
      </c>
      <c r="C124" s="13" t="n">
        <f aca="false">B$7*(1+A_pore*B$8*($A124/100))/(1-B$8*(1+((1-phimax_pore)/phimax_pore^2)*($A124/100))*($A124/100))</f>
        <v>0.033141681741275</v>
      </c>
      <c r="D124" s="13" t="n">
        <f aca="false">D$5*(1+A_pore*D$6*($A124/100))/(1-D$6*(1+((1-phimax_pore)/phimax_pore^2)*($A124/100))*($A124/100))</f>
        <v>1.23498094700975</v>
      </c>
      <c r="E124" s="13" t="n">
        <f aca="false">D$7*(1+A_pore*D$8*($A124/100))/(1-D$8*(1+((1-phimax_pore)/phimax_pore^2)*($A124/100))*($A124/100))</f>
        <v>0.0347052655193337</v>
      </c>
      <c r="F124" s="13" t="n">
        <f aca="false">F$5*(1+A_pore*F$6*($A124/100))/(1-F$6*(1+((1-phimax_pore)/phimax_pore^2)*($A124/100))*($A124/100))</f>
        <v>1.24687122080817</v>
      </c>
      <c r="G124" s="13" t="n">
        <f aca="false">F$7*(1+A_pore*F$8*($A124/100))/(1-F$8*(1+((1-phimax_pore)/phimax_pore^2)*($A124/100))*($A124/100))</f>
        <v>0.0385943107191688</v>
      </c>
      <c r="H124" s="13" t="n">
        <f aca="false">H$5*(1+A_pore*H$6*($A124/100))/(1-H$6*(1+((1-phimax_pore)/phimax_pore^2)*($A124/100))*($A124/100))</f>
        <v>1.26146677563398</v>
      </c>
      <c r="I124" s="13" t="n">
        <f aca="false">H$7*(1+A_pore*H$8*($A124/100))/(1-H$8*(1+((1-phimax_pore)/phimax_pore^2)*($A124/100))*($A124/100))</f>
        <v>0.0468947407658049</v>
      </c>
      <c r="J124" s="13" t="n">
        <f aca="false">J$5*(1+A_pore*J$6*($A124/100))/(1-J$6*(1+((1-phimax_pore)/phimax_pore^2)*($A124/100))*($A124/100))</f>
        <v>1.28003911195241</v>
      </c>
      <c r="K124" s="13" t="n">
        <f aca="false">J$7*(1+A_pore*J$8*($A124/100))/(1-J$8*(1+((1-phimax_pore)/phimax_pore^2)*($A124/100))*($A124/100))</f>
        <v>0.116890747957091</v>
      </c>
    </row>
    <row r="125" customFormat="false" ht="15" hidden="false" customHeight="false" outlineLevel="0" collapsed="false">
      <c r="A125" s="4" t="n">
        <v>77</v>
      </c>
      <c r="B125" s="13" t="n">
        <f aca="false">B$5*(1+A_pore*B$6*($A125/100))/(1-B$6*(1+((1-phimax_pore)/phimax_pore^2)*($A125/100))*($A125/100))</f>
        <v>1.22386611969482</v>
      </c>
      <c r="C125" s="13" t="n">
        <f aca="false">B$7*(1+A_pore*B$8*($A125/100))/(1-B$8*(1+((1-phimax_pore)/phimax_pore^2)*($A125/100))*($A125/100))</f>
        <v>0.0329543689806243</v>
      </c>
      <c r="D125" s="13" t="n">
        <f aca="false">D$5*(1+A_pore*D$6*($A125/100))/(1-D$6*(1+((1-phimax_pore)/phimax_pore^2)*($A125/100))*($A125/100))</f>
        <v>1.22889918519848</v>
      </c>
      <c r="E125" s="13" t="n">
        <f aca="false">D$7*(1+A_pore*D$8*($A125/100))/(1-D$8*(1+((1-phimax_pore)/phimax_pore^2)*($A125/100))*($A125/100))</f>
        <v>0.0344738899524012</v>
      </c>
      <c r="F125" s="13" t="n">
        <f aca="false">F$5*(1+A_pore*F$6*($A125/100))/(1-F$6*(1+((1-phimax_pore)/phimax_pore^2)*($A125/100))*($A125/100))</f>
        <v>1.24045345680638</v>
      </c>
      <c r="G125" s="13" t="n">
        <f aca="false">F$7*(1+A_pore*F$8*($A125/100))/(1-F$8*(1+((1-phimax_pore)/phimax_pore^2)*($A125/100))*($A125/100))</f>
        <v>0.0382550061611744</v>
      </c>
      <c r="H125" s="13" t="n">
        <f aca="false">H$5*(1+A_pore*H$6*($A125/100))/(1-H$6*(1+((1-phimax_pore)/phimax_pore^2)*($A125/100))*($A125/100))</f>
        <v>1.25463617573472</v>
      </c>
      <c r="I125" s="13" t="n">
        <f aca="false">H$7*(1+A_pore*H$8*($A125/100))/(1-H$8*(1+((1-phimax_pore)/phimax_pore^2)*($A125/100))*($A125/100))</f>
        <v>0.0463287378744657</v>
      </c>
      <c r="J125" s="13" t="n">
        <f aca="false">J$5*(1+A_pore*J$6*($A125/100))/(1-J$6*(1+((1-phimax_pore)/phimax_pore^2)*($A125/100))*($A125/100))</f>
        <v>1.27268326459728</v>
      </c>
      <c r="K125" s="13" t="n">
        <f aca="false">J$7*(1+A_pore*J$8*($A125/100))/(1-J$8*(1+((1-phimax_pore)/phimax_pore^2)*($A125/100))*($A125/100))</f>
        <v>0.114427511011862</v>
      </c>
    </row>
    <row r="126" customFormat="false" ht="15" hidden="false" customHeight="false" outlineLevel="0" collapsed="false">
      <c r="A126" s="4" t="n">
        <v>77.5</v>
      </c>
      <c r="B126" s="13" t="n">
        <f aca="false">B$5*(1+A_pore*B$6*($A126/100))/(1-B$6*(1+((1-phimax_pore)/phimax_pore^2)*($A126/100))*($A126/100))</f>
        <v>1.21797668516827</v>
      </c>
      <c r="C126" s="13" t="n">
        <f aca="false">B$7*(1+A_pore*B$8*($A126/100))/(1-B$8*(1+((1-phimax_pore)/phimax_pore^2)*($A126/100))*($A126/100))</f>
        <v>0.0327686820725556</v>
      </c>
      <c r="D126" s="13" t="n">
        <f aca="false">D$5*(1+A_pore*D$6*($A126/100))/(1-D$6*(1+((1-phimax_pore)/phimax_pore^2)*($A126/100))*($A126/100))</f>
        <v>1.22286541599591</v>
      </c>
      <c r="E126" s="13" t="n">
        <f aca="false">D$7*(1+A_pore*D$8*($A126/100))/(1-D$8*(1+((1-phimax_pore)/phimax_pore^2)*($A126/100))*($A126/100))</f>
        <v>0.0342447187349879</v>
      </c>
      <c r="F126" s="13" t="n">
        <f aca="false">F$5*(1+A_pore*F$6*($A126/100))/(1-F$6*(1+((1-phimax_pore)/phimax_pore^2)*($A126/100))*($A126/100))</f>
        <v>1.23408798875333</v>
      </c>
      <c r="G126" s="13" t="n">
        <f aca="false">F$7*(1+A_pore*F$8*($A126/100))/(1-F$8*(1+((1-phimax_pore)/phimax_pore^2)*($A126/100))*($A126/100))</f>
        <v>0.037919281078711</v>
      </c>
      <c r="H126" s="13" t="n">
        <f aca="false">H$5*(1+A_pore*H$6*($A126/100))/(1-H$6*(1+((1-phimax_pore)/phimax_pore^2)*($A126/100))*($A126/100))</f>
        <v>1.24786322331837</v>
      </c>
      <c r="I126" s="13" t="n">
        <f aca="false">H$7*(1+A_pore*H$8*($A126/100))/(1-H$8*(1+((1-phimax_pore)/phimax_pore^2)*($A126/100))*($A126/100))</f>
        <v>0.0457690664710441</v>
      </c>
      <c r="J126" s="13" t="n">
        <f aca="false">J$5*(1+A_pore*J$6*($A126/100))/(1-J$6*(1+((1-phimax_pore)/phimax_pore^2)*($A126/100))*($A126/100))</f>
        <v>1.26539193746515</v>
      </c>
      <c r="K126" s="13" t="n">
        <f aca="false">J$7*(1+A_pore*J$8*($A126/100))/(1-J$8*(1+((1-phimax_pore)/phimax_pore^2)*($A126/100))*($A126/100))</f>
        <v>0.111993014330345</v>
      </c>
    </row>
    <row r="127" customFormat="false" ht="15" hidden="false" customHeight="false" outlineLevel="0" collapsed="false">
      <c r="A127" s="4" t="n">
        <v>78</v>
      </c>
      <c r="B127" s="13" t="n">
        <f aca="false">B$5*(1+A_pore*B$6*($A127/100))/(1-B$6*(1+((1-phimax_pore)/phimax_pore^2)*($A127/100))*($A127/100))</f>
        <v>1.21213285536036</v>
      </c>
      <c r="C127" s="13" t="n">
        <f aca="false">B$7*(1+A_pore*B$8*($A127/100))/(1-B$8*(1+((1-phimax_pore)/phimax_pore^2)*($A127/100))*($A127/100))</f>
        <v>0.0325845999960419</v>
      </c>
      <c r="D127" s="13" t="n">
        <f aca="false">D$5*(1+A_pore*D$6*($A127/100))/(1-D$6*(1+((1-phimax_pore)/phimax_pore^2)*($A127/100))*($A127/100))</f>
        <v>1.21687907496552</v>
      </c>
      <c r="E127" s="13" t="n">
        <f aca="false">D$7*(1+A_pore*D$8*($A127/100))/(1-D$8*(1+((1-phimax_pore)/phimax_pore^2)*($A127/100))*($A127/100))</f>
        <v>0.0340177206077457</v>
      </c>
      <c r="F127" s="13" t="n">
        <f aca="false">F$5*(1+A_pore*F$6*($A127/100))/(1-F$6*(1+((1-phimax_pore)/phimax_pore^2)*($A127/100))*($A127/100))</f>
        <v>1.22777418164553</v>
      </c>
      <c r="G127" s="13" t="n">
        <f aca="false">F$7*(1+A_pore*F$8*($A127/100))/(1-F$8*(1+((1-phimax_pore)/phimax_pore^2)*($A127/100))*($A127/100))</f>
        <v>0.0375870793386236</v>
      </c>
      <c r="H127" s="13" t="n">
        <f aca="false">H$5*(1+A_pore*H$6*($A127/100))/(1-H$6*(1+((1-phimax_pore)/phimax_pore^2)*($A127/100))*($A127/100))</f>
        <v>1.24114719355145</v>
      </c>
      <c r="I127" s="13" t="n">
        <f aca="false">H$7*(1+A_pore*H$8*($A127/100))/(1-H$8*(1+((1-phimax_pore)/phimax_pore^2)*($A127/100))*($A127/100))</f>
        <v>0.045215621410417</v>
      </c>
      <c r="J127" s="13" t="n">
        <f aca="false">J$5*(1+A_pore*J$6*($A127/100))/(1-J$6*(1+((1-phimax_pore)/phimax_pore^2)*($A127/100))*($A127/100))</f>
        <v>1.25816428763449</v>
      </c>
      <c r="K127" s="13" t="n">
        <f aca="false">J$7*(1+A_pore*J$8*($A127/100))/(1-J$8*(1+((1-phimax_pore)/phimax_pore^2)*($A127/100))*($A127/100))</f>
        <v>0.109586760909183</v>
      </c>
    </row>
    <row r="128" customFormat="false" ht="15" hidden="false" customHeight="false" outlineLevel="0" collapsed="false">
      <c r="A128" s="4" t="n">
        <v>78.5</v>
      </c>
      <c r="B128" s="13" t="n">
        <f aca="false">B$5*(1+A_pore*B$6*($A128/100))/(1-B$6*(1+((1-phimax_pore)/phimax_pore^2)*($A128/100))*($A128/100))</f>
        <v>1.20633410392492</v>
      </c>
      <c r="C128" s="13" t="n">
        <f aca="false">B$7*(1+A_pore*B$8*($A128/100))/(1-B$8*(1+((1-phimax_pore)/phimax_pore^2)*($A128/100))*($A128/100))</f>
        <v>0.0324021020908707</v>
      </c>
      <c r="D128" s="13" t="n">
        <f aca="false">D$5*(1+A_pore*D$6*($A128/100))/(1-D$6*(1+((1-phimax_pore)/phimax_pore^2)*($A128/100))*($A128/100))</f>
        <v>1.21093960648695</v>
      </c>
      <c r="E128" s="13" t="n">
        <f aca="false">D$7*(1+A_pore*D$8*($A128/100))/(1-D$8*(1+((1-phimax_pore)/phimax_pore^2)*($A128/100))*($A128/100))</f>
        <v>0.0337928648995687</v>
      </c>
      <c r="F128" s="13" t="n">
        <f aca="false">F$5*(1+A_pore*F$6*($A128/100))/(1-F$6*(1+((1-phimax_pore)/phimax_pore^2)*($A128/100))*($A128/100))</f>
        <v>1.22151141071842</v>
      </c>
      <c r="G128" s="13" t="n">
        <f aca="false">F$7*(1+A_pore*F$8*($A128/100))/(1-F$8*(1+((1-phimax_pore)/phimax_pore^2)*($A128/100))*($A128/100))</f>
        <v>0.0372583459753142</v>
      </c>
      <c r="H128" s="13" t="n">
        <f aca="false">H$5*(1+A_pore*H$6*($A128/100))/(1-H$6*(1+((1-phimax_pore)/phimax_pore^2)*($A128/100))*($A128/100))</f>
        <v>1.23448737370099</v>
      </c>
      <c r="I128" s="13" t="n">
        <f aca="false">H$7*(1+A_pore*H$8*($A128/100))/(1-H$8*(1+((1-phimax_pore)/phimax_pore^2)*($A128/100))*($A128/100))</f>
        <v>0.0446682998626954</v>
      </c>
      <c r="J128" s="13" t="n">
        <f aca="false">J$5*(1+A_pore*J$6*($A128/100))/(1-J$6*(1+((1-phimax_pore)/phimax_pore^2)*($A128/100))*($A128/100))</f>
        <v>1.25099948680277</v>
      </c>
      <c r="K128" s="13" t="n">
        <f aca="false">J$7*(1+A_pore*J$8*($A128/100))/(1-J$8*(1+((1-phimax_pore)/phimax_pore^2)*($A128/100))*($A128/100))</f>
        <v>0.107208265138255</v>
      </c>
    </row>
    <row r="129" customFormat="false" ht="15" hidden="false" customHeight="false" outlineLevel="0" collapsed="false">
      <c r="A129" s="4" t="n">
        <v>79</v>
      </c>
      <c r="B129" s="13" t="n">
        <f aca="false">B$5*(1+A_pore*B$6*($A129/100))/(1-B$6*(1+((1-phimax_pore)/phimax_pore^2)*($A129/100))*($A129/100))</f>
        <v>1.20057991258421</v>
      </c>
      <c r="C129" s="13" t="n">
        <f aca="false">B$7*(1+A_pore*B$8*($A129/100))/(1-B$8*(1+((1-phimax_pore)/phimax_pore^2)*($A129/100))*($A129/100))</f>
        <v>0.0322211680499359</v>
      </c>
      <c r="D129" s="13" t="n">
        <f aca="false">D$5*(1+A_pore*D$6*($A129/100))/(1-D$6*(1+((1-phimax_pore)/phimax_pore^2)*($A129/100))*($A129/100))</f>
        <v>1.2050464635846</v>
      </c>
      <c r="E129" s="13" t="n">
        <f aca="false">D$7*(1+A_pore*D$8*($A129/100))/(1-D$8*(1+((1-phimax_pore)/phimax_pore^2)*($A129/100))*($A129/100))</f>
        <v>0.0335701215138213</v>
      </c>
      <c r="F129" s="13" t="n">
        <f aca="false">F$5*(1+A_pore*F$6*($A129/100))/(1-F$6*(1+((1-phimax_pore)/phimax_pore^2)*($A129/100))*($A129/100))</f>
        <v>1.21529906124085</v>
      </c>
      <c r="G129" s="13" t="n">
        <f aca="false">F$7*(1+A_pore*F$8*($A129/100))/(1-F$8*(1+((1-phimax_pore)/phimax_pore^2)*($A129/100))*($A129/100))</f>
        <v>0.0369330271605431</v>
      </c>
      <c r="H129" s="13" t="n">
        <f aca="false">H$5*(1+A_pore*H$6*($A129/100))/(1-H$6*(1+((1-phimax_pore)/phimax_pore^2)*($A129/100))*($A129/100))</f>
        <v>1.22788306288313</v>
      </c>
      <c r="I129" s="13" t="n">
        <f aca="false">H$7*(1+A_pore*H$8*($A129/100))/(1-H$8*(1+((1-phimax_pore)/phimax_pore^2)*($A129/100))*($A129/100))</f>
        <v>0.0441270012498486</v>
      </c>
      <c r="J129" s="13" t="n">
        <f aca="false">J$5*(1+A_pore*J$6*($A129/100))/(1-J$6*(1+((1-phimax_pore)/phimax_pore^2)*($A129/100))*($A129/100))</f>
        <v>1.24389672097085</v>
      </c>
      <c r="K129" s="13" t="n">
        <f aca="false">J$7*(1+A_pore*J$8*($A129/100))/(1-J$8*(1+((1-phimax_pore)/phimax_pore^2)*($A129/100))*($A129/100))</f>
        <v>0.104857052476062</v>
      </c>
    </row>
    <row r="130" customFormat="false" ht="15" hidden="false" customHeight="false" outlineLevel="0" collapsed="false">
      <c r="A130" s="4" t="n">
        <v>79.5</v>
      </c>
      <c r="B130" s="13" t="n">
        <f aca="false">B$5*(1+A_pore*B$6*($A130/100))/(1-B$6*(1+((1-phimax_pore)/phimax_pore^2)*($A130/100))*($A130/100))</f>
        <v>1.19486977097491</v>
      </c>
      <c r="C130" s="13" t="n">
        <f aca="false">B$7*(1+A_pore*B$8*($A130/100))/(1-B$8*(1+((1-phimax_pore)/phimax_pore^2)*($A130/100))*($A130/100))</f>
        <v>0.0320417779117261</v>
      </c>
      <c r="D130" s="13" t="n">
        <f aca="false">D$5*(1+A_pore*D$6*($A130/100))/(1-D$6*(1+((1-phimax_pore)/phimax_pore^2)*($A130/100))*($A130/100))</f>
        <v>1.19919910776014</v>
      </c>
      <c r="E130" s="13" t="n">
        <f aca="false">D$7*(1+A_pore*D$8*($A130/100))/(1-D$8*(1+((1-phimax_pore)/phimax_pore^2)*($A130/100))*($A130/100))</f>
        <v>0.0333494609149508</v>
      </c>
      <c r="F130" s="13" t="n">
        <f aca="false">F$5*(1+A_pore*F$6*($A130/100))/(1-F$6*(1+((1-phimax_pore)/phimax_pore^2)*($A130/100))*($A130/100))</f>
        <v>1.20913652831444</v>
      </c>
      <c r="G130" s="13" t="n">
        <f aca="false">F$7*(1+A_pore*F$8*($A130/100))/(1-F$8*(1+((1-phimax_pore)/phimax_pore^2)*($A130/100))*($A130/100))</f>
        <v>0.0366110701741622</v>
      </c>
      <c r="H130" s="13" t="n">
        <f aca="false">H$5*(1+A_pore*H$6*($A130/100))/(1-H$6*(1+((1-phimax_pore)/phimax_pore^2)*($A130/100))*($A130/100))</f>
        <v>1.22133357181787</v>
      </c>
      <c r="I130" s="13" t="n">
        <f aca="false">H$7*(1+A_pore*H$8*($A130/100))/(1-H$8*(1+((1-phimax_pore)/phimax_pore^2)*($A130/100))*($A130/100))</f>
        <v>0.0435916271843982</v>
      </c>
      <c r="J130" s="13" t="n">
        <f aca="false">J$5*(1+A_pore*J$6*($A130/100))/(1-J$6*(1+((1-phimax_pore)/phimax_pore^2)*($A130/100))*($A130/100))</f>
        <v>1.23685519013557</v>
      </c>
      <c r="K130" s="13" t="n">
        <f aca="false">J$7*(1+A_pore*J$8*($A130/100))/(1-J$8*(1+((1-phimax_pore)/phimax_pore^2)*($A130/100))*($A130/100))</f>
        <v>0.102532659136158</v>
      </c>
    </row>
    <row r="131" customFormat="false" ht="15" hidden="false" customHeight="false" outlineLevel="0" collapsed="false">
      <c r="A131" s="4" t="n">
        <v>80</v>
      </c>
      <c r="B131" s="13" t="n">
        <f aca="false">B$5*(1+A_pore*B$6*($A131/100))/(1-B$6*(1+((1-phimax_pore)/phimax_pore^2)*($A131/100))*($A131/100))</f>
        <v>1.18920317649768</v>
      </c>
      <c r="C131" s="13" t="n">
        <f aca="false">B$7*(1+A_pore*B$8*($A131/100))/(1-B$8*(1+((1-phimax_pore)/phimax_pore^2)*($A131/100))*($A131/100))</f>
        <v>0.0318639120530038</v>
      </c>
      <c r="D131" s="13" t="n">
        <f aca="false">D$5*(1+A_pore*D$6*($A131/100))/(1-D$6*(1+((1-phimax_pore)/phimax_pore^2)*($A131/100))*($A131/100))</f>
        <v>1.19339700882889</v>
      </c>
      <c r="E131" s="13" t="n">
        <f aca="false">D$7*(1+A_pore*D$8*($A131/100))/(1-D$8*(1+((1-phimax_pore)/phimax_pore^2)*($A131/100))*($A131/100))</f>
        <v>0.0331308541154731</v>
      </c>
      <c r="F131" s="13" t="n">
        <f aca="false">F$5*(1+A_pore*F$6*($A131/100))/(1-F$6*(1+((1-phimax_pore)/phimax_pore^2)*($A131/100))*($A131/100))</f>
        <v>1.2030232166778</v>
      </c>
      <c r="G131" s="13" t="n">
        <f aca="false">F$7*(1+A_pore*F$8*($A131/100))/(1-F$8*(1+((1-phimax_pore)/phimax_pore^2)*($A131/100))*($A131/100))</f>
        <v>0.0362924233757474</v>
      </c>
      <c r="H131" s="13" t="n">
        <f aca="false">H$5*(1+A_pore*H$6*($A131/100))/(1-H$6*(1+((1-phimax_pore)/phimax_pore^2)*($A131/100))*($A131/100))</f>
        <v>1.21483822258991</v>
      </c>
      <c r="I131" s="13" t="n">
        <f aca="false">H$7*(1+A_pore*H$8*($A131/100))/(1-H$8*(1+((1-phimax_pore)/phimax_pore^2)*($A131/100))*($A131/100))</f>
        <v>0.0430620814101045</v>
      </c>
      <c r="J131" s="13" t="n">
        <f aca="false">J$5*(1+A_pore*J$6*($A131/100))/(1-J$6*(1+((1-phimax_pore)/phimax_pore^2)*($A131/100))*($A131/100))</f>
        <v>1.22987410799024</v>
      </c>
      <c r="K131" s="13" t="n">
        <f aca="false">J$7*(1+A_pore*J$8*($A131/100))/(1-J$8*(1+((1-phimax_pore)/phimax_pore^2)*($A131/100))*($A131/100))</f>
        <v>0.100234631784168</v>
      </c>
    </row>
    <row r="132" customFormat="false" ht="15" hidden="false" customHeight="false" outlineLevel="0" collapsed="false">
      <c r="A132" s="4" t="n">
        <v>80.5</v>
      </c>
      <c r="B132" s="13" t="n">
        <f aca="false">B$5*(1+A_pore*B$6*($A132/100))/(1-B$6*(1+((1-phimax_pore)/phimax_pore^2)*($A132/100))*($A132/100))</f>
        <v>1.18357963417</v>
      </c>
      <c r="C132" s="13" t="n">
        <f aca="false">B$7*(1+A_pore*B$8*($A132/100))/(1-B$8*(1+((1-phimax_pore)/phimax_pore^2)*($A132/100))*($A132/100))</f>
        <v>0.0316875511816704</v>
      </c>
      <c r="D132" s="13" t="n">
        <f aca="false">D$5*(1+A_pore*D$6*($A132/100))/(1-D$6*(1+((1-phimax_pore)/phimax_pore^2)*($A132/100))*($A132/100))</f>
        <v>1.18763964476003</v>
      </c>
      <c r="E132" s="13" t="n">
        <f aca="false">D$7*(1+A_pore*D$8*($A132/100))/(1-D$8*(1+((1-phimax_pore)/phimax_pore^2)*($A132/100))*($A132/100))</f>
        <v>0.032914272663319</v>
      </c>
      <c r="F132" s="13" t="n">
        <f aca="false">F$5*(1+A_pore*F$6*($A132/100))/(1-F$6*(1+((1-phimax_pore)/phimax_pore^2)*($A132/100))*($A132/100))</f>
        <v>1.19695854051535</v>
      </c>
      <c r="G132" s="13" t="n">
        <f aca="false">F$7*(1+A_pore*F$8*($A132/100))/(1-F$8*(1+((1-phimax_pore)/phimax_pore^2)*($A132/100))*($A132/100))</f>
        <v>0.0359770361770981</v>
      </c>
      <c r="H132" s="13" t="n">
        <f aca="false">H$5*(1+A_pore*H$6*($A132/100))/(1-H$6*(1+((1-phimax_pore)/phimax_pore^2)*($A132/100))*($A132/100))</f>
        <v>1.20839634841541</v>
      </c>
      <c r="I132" s="13" t="n">
        <f aca="false">H$7*(1+A_pore*H$8*($A132/100))/(1-H$8*(1+((1-phimax_pore)/phimax_pore^2)*($A132/100))*($A132/100))</f>
        <v>0.0425382697445694</v>
      </c>
      <c r="J132" s="13" t="n">
        <f aca="false">J$5*(1+A_pore*J$6*($A132/100))/(1-J$6*(1+((1-phimax_pore)/phimax_pore^2)*($A132/100))*($A132/100))</f>
        <v>1.22295270163277</v>
      </c>
      <c r="K132" s="13" t="n">
        <f aca="false">J$7*(1+A_pore*J$8*($A132/100))/(1-J$8*(1+((1-phimax_pore)/phimax_pore^2)*($A132/100))*($A132/100))</f>
        <v>0.0979625272450015</v>
      </c>
    </row>
    <row r="133" customFormat="false" ht="15" hidden="false" customHeight="false" outlineLevel="0" collapsed="false">
      <c r="A133" s="4" t="n">
        <v>81</v>
      </c>
      <c r="B133" s="13" t="n">
        <f aca="false">B$5*(1+A_pore*B$6*($A133/100))/(1-B$6*(1+((1-phimax_pore)/phimax_pore^2)*($A133/100))*($A133/100))</f>
        <v>1.17799865648247</v>
      </c>
      <c r="C133" s="13" t="n">
        <f aca="false">B$7*(1+A_pore*B$8*($A133/100))/(1-B$8*(1+((1-phimax_pore)/phimax_pore^2)*($A133/100))*($A133/100))</f>
        <v>0.0315126763298099</v>
      </c>
      <c r="D133" s="13" t="n">
        <f aca="false">D$5*(1+A_pore*D$6*($A133/100))/(1-D$6*(1+((1-phimax_pore)/phimax_pore^2)*($A133/100))*($A133/100))</f>
        <v>1.18192650152042</v>
      </c>
      <c r="E133" s="13" t="n">
        <f aca="false">D$7*(1+A_pore*D$8*($A133/100))/(1-D$8*(1+((1-phimax_pore)/phimax_pore^2)*($A133/100))*($A133/100))</f>
        <v>0.0326996886295286</v>
      </c>
      <c r="F133" s="13" t="n">
        <f aca="false">F$5*(1+A_pore*F$6*($A133/100))/(1-F$6*(1+((1-phimax_pore)/phimax_pore^2)*($A133/100))*($A133/100))</f>
        <v>1.19094192327072</v>
      </c>
      <c r="G133" s="13" t="n">
        <f aca="false">F$7*(1+A_pore*F$8*($A133/100))/(1-F$8*(1+((1-phimax_pore)/phimax_pore^2)*($A133/100))*($A133/100))</f>
        <v>0.035664859015573</v>
      </c>
      <c r="H133" s="13" t="n">
        <f aca="false">H$5*(1+A_pore*H$6*($A133/100))/(1-H$6*(1+((1-phimax_pore)/phimax_pore^2)*($A133/100))*($A133/100))</f>
        <v>1.20200729341444</v>
      </c>
      <c r="I133" s="13" t="n">
        <f aca="false">H$7*(1+A_pore*H$8*($A133/100))/(1-H$8*(1+((1-phimax_pore)/phimax_pore^2)*($A133/100))*($A133/100))</f>
        <v>0.0420201000236843</v>
      </c>
      <c r="J133" s="13" t="n">
        <f aca="false">J$5*(1+A_pore*J$6*($A133/100))/(1-J$6*(1+((1-phimax_pore)/phimax_pore^2)*($A133/100))*($A133/100))</f>
        <v>1.21609021128124</v>
      </c>
      <c r="K133" s="13" t="n">
        <f aca="false">J$7*(1+A_pore*J$8*($A133/100))/(1-J$8*(1+((1-phimax_pore)/phimax_pore^2)*($A133/100))*($A133/100))</f>
        <v>0.0957159122198514</v>
      </c>
    </row>
    <row r="134" customFormat="false" ht="15" hidden="false" customHeight="false" outlineLevel="0" collapsed="false">
      <c r="A134" s="4" t="n">
        <v>81.5</v>
      </c>
      <c r="B134" s="13" t="n">
        <f aca="false">B$5*(1+A_pore*B$6*($A134/100))/(1-B$6*(1+((1-phimax_pore)/phimax_pore^2)*($A134/100))*($A134/100))</f>
        <v>1.17245976325832</v>
      </c>
      <c r="C134" s="13" t="n">
        <f aca="false">B$7*(1+A_pore*B$8*($A134/100))/(1-B$8*(1+((1-phimax_pore)/phimax_pore^2)*($A134/100))*($A134/100))</f>
        <v>0.031339268846909</v>
      </c>
      <c r="D134" s="13" t="n">
        <f aca="false">D$5*(1+A_pore*D$6*($A134/100))/(1-D$6*(1+((1-phimax_pore)/phimax_pore^2)*($A134/100))*($A134/100))</f>
        <v>1.17625707292205</v>
      </c>
      <c r="E134" s="13" t="n">
        <f aca="false">D$7*(1+A_pore*D$8*($A134/100))/(1-D$8*(1+((1-phimax_pore)/phimax_pore^2)*($A134/100))*($A134/100))</f>
        <v>0.0324870745962849</v>
      </c>
      <c r="F134" s="13" t="n">
        <f aca="false">F$5*(1+A_pore*F$6*($A134/100))/(1-F$6*(1+((1-phimax_pore)/phimax_pore^2)*($A134/100))*($A134/100))</f>
        <v>1.18497279746452</v>
      </c>
      <c r="G134" s="13" t="n">
        <f aca="false">F$7*(1+A_pore*F$8*($A134/100))/(1-F$8*(1+((1-phimax_pore)/phimax_pore^2)*($A134/100))*($A134/100))</f>
        <v>0.0353558433282326</v>
      </c>
      <c r="H134" s="13" t="n">
        <f aca="false">H$5*(1+A_pore*H$6*($A134/100))/(1-H$6*(1+((1-phimax_pore)/phimax_pore^2)*($A134/100))*($A134/100))</f>
        <v>1.195670412389</v>
      </c>
      <c r="I134" s="13" t="n">
        <f aca="false">H$7*(1+A_pore*H$8*($A134/100))/(1-H$8*(1+((1-phimax_pore)/phimax_pore^2)*($A134/100))*($A134/100))</f>
        <v>0.041507482047855</v>
      </c>
      <c r="J134" s="13" t="n">
        <f aca="false">J$5*(1+A_pore*J$6*($A134/100))/(1-J$6*(1+((1-phimax_pore)/phimax_pore^2)*($A134/100))*($A134/100))</f>
        <v>1.20928588999667</v>
      </c>
      <c r="K134" s="13" t="n">
        <f aca="false">J$7*(1+A_pore*J$8*($A134/100))/(1-J$8*(1+((1-phimax_pore)/phimax_pore^2)*($A134/100))*($A134/100))</f>
        <v>0.0934943630125944</v>
      </c>
    </row>
    <row r="135" customFormat="false" ht="15" hidden="false" customHeight="false" outlineLevel="0" collapsed="false">
      <c r="A135" s="4" t="n">
        <v>82</v>
      </c>
      <c r="B135" s="13" t="n">
        <f aca="false">B$5*(1+A_pore*B$6*($A135/100))/(1-B$6*(1+((1-phimax_pore)/phimax_pore^2)*($A135/100))*($A135/100))</f>
        <v>1.16696248151602</v>
      </c>
      <c r="C135" s="13" t="n">
        <f aca="false">B$7*(1+A_pore*B$8*($A135/100))/(1-B$8*(1+((1-phimax_pore)/phimax_pore^2)*($A135/100))*($A135/100))</f>
        <v>0.0311673103932445</v>
      </c>
      <c r="D135" s="13" t="n">
        <f aca="false">D$5*(1+A_pore*D$6*($A135/100))/(1-D$6*(1+((1-phimax_pore)/phimax_pore^2)*($A135/100))*($A135/100))</f>
        <v>1.17063086047293</v>
      </c>
      <c r="E135" s="13" t="n">
        <f aca="false">D$7*(1+A_pore*D$8*($A135/100))/(1-D$8*(1+((1-phimax_pore)/phimax_pore^2)*($A135/100))*($A135/100))</f>
        <v>0.0322764036452733</v>
      </c>
      <c r="F135" s="13" t="n">
        <f aca="false">F$5*(1+A_pore*F$6*($A135/100))/(1-F$6*(1+((1-phimax_pore)/phimax_pore^2)*($A135/100))*($A135/100))</f>
        <v>1.17905060451641</v>
      </c>
      <c r="G135" s="13" t="n">
        <f aca="false">F$7*(1+A_pore*F$8*($A135/100))/(1-F$8*(1+((1-phimax_pore)/phimax_pore^2)*($A135/100))*($A135/100))</f>
        <v>0.0350499415267599</v>
      </c>
      <c r="H135" s="13" t="n">
        <f aca="false">H$5*(1+A_pore*H$6*($A135/100))/(1-H$6*(1+((1-phimax_pore)/phimax_pore^2)*($A135/100))*($A135/100))</f>
        <v>1.18938507060642</v>
      </c>
      <c r="I135" s="13" t="n">
        <f aca="false">H$7*(1+A_pore*H$8*($A135/100))/(1-H$8*(1+((1-phimax_pore)/phimax_pore^2)*($A135/100))*($A135/100))</f>
        <v>0.0410003275299352</v>
      </c>
      <c r="J135" s="13" t="n">
        <f aca="false">J$5*(1+A_pore*J$6*($A135/100))/(1-J$6*(1+((1-phimax_pore)/phimax_pore^2)*($A135/100))*($A135/100))</f>
        <v>1.20253900341281</v>
      </c>
      <c r="K135" s="13" t="n">
        <f aca="false">J$7*(1+A_pore*J$8*($A135/100))/(1-J$8*(1+((1-phimax_pore)/phimax_pore^2)*($A135/100))*($A135/100))</f>
        <v>0.0912974652652436</v>
      </c>
    </row>
    <row r="136" customFormat="false" ht="15" hidden="false" customHeight="false" outlineLevel="0" collapsed="false">
      <c r="A136" s="4" t="n">
        <v>82.5</v>
      </c>
      <c r="B136" s="13" t="n">
        <f aca="false">B$5*(1+A_pore*B$6*($A136/100))/(1-B$6*(1+((1-phimax_pore)/phimax_pore^2)*($A136/100))*($A136/100))</f>
        <v>1.16150634533504</v>
      </c>
      <c r="C136" s="13" t="n">
        <f aca="false">B$7*(1+A_pore*B$8*($A136/100))/(1-B$8*(1+((1-phimax_pore)/phimax_pore^2)*($A136/100))*($A136/100))</f>
        <v>0.0309967829334375</v>
      </c>
      <c r="D136" s="13" t="n">
        <f aca="false">D$5*(1+A_pore*D$6*($A136/100))/(1-D$6*(1+((1-phimax_pore)/phimax_pore^2)*($A136/100))*($A136/100))</f>
        <v>1.16504737323139</v>
      </c>
      <c r="E136" s="13" t="n">
        <f aca="false">D$7*(1+A_pore*D$8*($A136/100))/(1-D$8*(1+((1-phimax_pore)/phimax_pore^2)*($A136/100))*($A136/100))</f>
        <v>0.0320676493463584</v>
      </c>
      <c r="F136" s="13" t="n">
        <f aca="false">F$5*(1+A_pore*F$6*($A136/100))/(1-F$6*(1+((1-phimax_pore)/phimax_pore^2)*($A136/100))*($A136/100))</f>
        <v>1.17317479457135</v>
      </c>
      <c r="G136" s="13" t="n">
        <f aca="false">F$7*(1+A_pore*F$8*($A136/100))/(1-F$8*(1+((1-phimax_pore)/phimax_pore^2)*($A136/100))*($A136/100))</f>
        <v>0.0347471069731329</v>
      </c>
      <c r="H136" s="13" t="n">
        <f aca="false">H$5*(1+A_pore*H$6*($A136/100))/(1-H$6*(1+((1-phimax_pore)/phimax_pore^2)*($A136/100))*($A136/100))</f>
        <v>1.18315064358806</v>
      </c>
      <c r="I136" s="13" t="n">
        <f aca="false">H$7*(1+A_pore*H$8*($A136/100))/(1-H$8*(1+((1-phimax_pore)/phimax_pore^2)*($A136/100))*($A136/100))</f>
        <v>0.0404985500448091</v>
      </c>
      <c r="J136" s="13" t="n">
        <f aca="false">J$5*(1+A_pore*J$6*($A136/100))/(1-J$6*(1+((1-phimax_pore)/phimax_pore^2)*($A136/100))*($A136/100))</f>
        <v>1.19584882947272</v>
      </c>
      <c r="K136" s="13" t="n">
        <f aca="false">J$7*(1+A_pore*J$8*($A136/100))/(1-J$8*(1+((1-phimax_pore)/phimax_pore^2)*($A136/100))*($A136/100))</f>
        <v>0.0891248137020954</v>
      </c>
    </row>
    <row r="137" customFormat="false" ht="15" hidden="false" customHeight="false" outlineLevel="0" collapsed="false">
      <c r="A137" s="4" t="n">
        <v>83</v>
      </c>
      <c r="B137" s="13" t="n">
        <f aca="false">B$5*(1+A_pore*B$6*($A137/100))/(1-B$6*(1+((1-phimax_pore)/phimax_pore^2)*($A137/100))*($A137/100))</f>
        <v>1.15609089572459</v>
      </c>
      <c r="C137" s="13" t="n">
        <f aca="false">B$7*(1+A_pore*B$8*($A137/100))/(1-B$8*(1+((1-phimax_pore)/phimax_pore^2)*($A137/100))*($A137/100))</f>
        <v>0.0308276687301654</v>
      </c>
      <c r="D137" s="13" t="n">
        <f aca="false">D$5*(1+A_pore*D$6*($A137/100))/(1-D$6*(1+((1-phimax_pore)/phimax_pore^2)*($A137/100))*($A137/100))</f>
        <v>1.15950612766366</v>
      </c>
      <c r="E137" s="13" t="n">
        <f aca="false">D$7*(1+A_pore*D$8*($A137/100))/(1-D$8*(1+((1-phimax_pore)/phimax_pore^2)*($A137/100))*($A137/100))</f>
        <v>0.0318607857465668</v>
      </c>
      <c r="F137" s="13" t="n">
        <f aca="false">F$5*(1+A_pore*F$6*($A137/100))/(1-F$6*(1+((1-phimax_pore)/phimax_pore^2)*($A137/100))*($A137/100))</f>
        <v>1.1673448263299</v>
      </c>
      <c r="G137" s="13" t="n">
        <f aca="false">F$7*(1+A_pore*F$8*($A137/100))/(1-F$8*(1+((1-phimax_pore)/phimax_pore^2)*($A137/100))*($A137/100))</f>
        <v>0.0344472939560214</v>
      </c>
      <c r="H137" s="13" t="n">
        <f aca="false">H$5*(1+A_pore*H$6*($A137/100))/(1-H$6*(1+((1-phimax_pore)/phimax_pore^2)*($A137/100))*($A137/100))</f>
        <v>1.17696651690307</v>
      </c>
      <c r="I137" s="13" t="n">
        <f aca="false">H$7*(1+A_pore*H$8*($A137/100))/(1-H$8*(1+((1-phimax_pore)/phimax_pore^2)*($A137/100))*($A137/100))</f>
        <v>0.0400020649805592</v>
      </c>
      <c r="J137" s="13" t="n">
        <f aca="false">J$5*(1+A_pore*J$6*($A137/100))/(1-J$6*(1+((1-phimax_pore)/phimax_pore^2)*($A137/100))*($A137/100))</f>
        <v>1.18921465817191</v>
      </c>
      <c r="K137" s="13" t="n">
        <f aca="false">J$7*(1+A_pore*J$8*($A137/100))/(1-J$8*(1+((1-phimax_pore)/phimax_pore^2)*($A137/100))*($A137/100))</f>
        <v>0.0869760118822435</v>
      </c>
    </row>
    <row r="138" customFormat="false" ht="15" hidden="false" customHeight="false" outlineLevel="0" collapsed="false">
      <c r="A138" s="4" t="n">
        <v>83.5</v>
      </c>
      <c r="B138" s="13" t="n">
        <f aca="false">B$5*(1+A_pore*B$6*($A138/100))/(1-B$6*(1+((1-phimax_pore)/phimax_pore^2)*($A138/100))*($A138/100))</f>
        <v>1.15071568049521</v>
      </c>
      <c r="C138" s="13" t="n">
        <f aca="false">B$7*(1+A_pore*B$8*($A138/100))/(1-B$8*(1+((1-phimax_pore)/phimax_pore^2)*($A138/100))*($A138/100))</f>
        <v>0.0306599503380309</v>
      </c>
      <c r="D138" s="13" t="n">
        <f aca="false">D$5*(1+A_pore*D$6*($A138/100))/(1-D$6*(1+((1-phimax_pore)/phimax_pore^2)*($A138/100))*($A138/100))</f>
        <v>1.15400664750468</v>
      </c>
      <c r="E138" s="13" t="n">
        <f aca="false">D$7*(1+A_pore*D$8*($A138/100))/(1-D$8*(1+((1-phimax_pore)/phimax_pore^2)*($A138/100))*($A138/100))</f>
        <v>0.0316557873593679</v>
      </c>
      <c r="F138" s="13" t="n">
        <f aca="false">F$5*(1+A_pore*F$6*($A138/100))/(1-F$6*(1+((1-phimax_pore)/phimax_pore^2)*($A138/100))*($A138/100))</f>
        <v>1.16156016688245</v>
      </c>
      <c r="G138" s="13" t="n">
        <f aca="false">F$7*(1+A_pore*F$8*($A138/100))/(1-F$8*(1+((1-phimax_pore)/phimax_pore^2)*($A138/100))*($A138/100))</f>
        <v>0.0341504576678845</v>
      </c>
      <c r="H138" s="13" t="n">
        <f aca="false">H$5*(1+A_pore*H$6*($A138/100))/(1-H$6*(1+((1-phimax_pore)/phimax_pore^2)*($A138/100))*($A138/100))</f>
        <v>1.17083208596708</v>
      </c>
      <c r="I138" s="13" t="n">
        <f aca="false">H$7*(1+A_pore*H$8*($A138/100))/(1-H$8*(1+((1-phimax_pore)/phimax_pore^2)*($A138/100))*($A138/100))</f>
        <v>0.0395107894911632</v>
      </c>
      <c r="J138" s="13" t="n">
        <f aca="false">J$5*(1+A_pore*J$6*($A138/100))/(1-J$6*(1+((1-phimax_pore)/phimax_pore^2)*($A138/100))*($A138/100))</f>
        <v>1.18263579130794</v>
      </c>
      <c r="K138" s="13" t="n">
        <f aca="false">J$7*(1+A_pore*J$8*($A138/100))/(1-J$8*(1+((1-phimax_pore)/phimax_pore^2)*($A138/100))*($A138/100))</f>
        <v>0.0848506719601414</v>
      </c>
    </row>
    <row r="139" customFormat="false" ht="15" hidden="false" customHeight="false" outlineLevel="0" collapsed="false">
      <c r="A139" s="4" t="n">
        <v>84</v>
      </c>
      <c r="B139" s="13" t="n">
        <f aca="false">B$5*(1+A_pore*B$6*($A139/100))/(1-B$6*(1+((1-phimax_pore)/phimax_pore^2)*($A139/100))*($A139/100))</f>
        <v>1.14538025413331</v>
      </c>
      <c r="C139" s="13" t="n">
        <f aca="false">B$7*(1+A_pore*B$8*($A139/100))/(1-B$8*(1+((1-phimax_pore)/phimax_pore^2)*($A139/100))*($A139/100))</f>
        <v>0.0304936105975801</v>
      </c>
      <c r="D139" s="13" t="n">
        <f aca="false">D$5*(1+A_pore*D$6*($A139/100))/(1-D$6*(1+((1-phimax_pore)/phimax_pore^2)*($A139/100))*($A139/100))</f>
        <v>1.14854846362204</v>
      </c>
      <c r="E139" s="13" t="n">
        <f aca="false">D$7*(1+A_pore*D$8*($A139/100))/(1-D$8*(1+((1-phimax_pore)/phimax_pore^2)*($A139/100))*($A139/100))</f>
        <v>0.0314526291542409</v>
      </c>
      <c r="F139" s="13" t="n">
        <f aca="false">F$5*(1+A_pore*F$6*($A139/100))/(1-F$6*(1+((1-phimax_pore)/phimax_pore^2)*($A139/100))*($A139/100))</f>
        <v>1.15582029154731</v>
      </c>
      <c r="G139" s="13" t="n">
        <f aca="false">F$7*(1+A_pore*F$8*($A139/100))/(1-F$8*(1+((1-phimax_pore)/phimax_pore^2)*($A139/100))*($A139/100))</f>
        <v>0.0338565541827436</v>
      </c>
      <c r="H139" s="13" t="n">
        <f aca="false">H$5*(1+A_pore*H$6*($A139/100))/(1-H$6*(1+((1-phimax_pore)/phimax_pore^2)*($A139/100))*($A139/100))</f>
        <v>1.1647467558458</v>
      </c>
      <c r="I139" s="13" t="n">
        <f aca="false">H$7*(1+A_pore*H$8*($A139/100))/(1-H$8*(1+((1-phimax_pore)/phimax_pore^2)*($A139/100))*($A139/100))</f>
        <v>0.0390246424506646</v>
      </c>
      <c r="J139" s="13" t="n">
        <f aca="false">J$5*(1+A_pore*J$6*($A139/100))/(1-J$6*(1+((1-phimax_pore)/phimax_pore^2)*($A139/100))*($A139/100))</f>
        <v>1.17611154223621</v>
      </c>
      <c r="K139" s="13" t="n">
        <f aca="false">J$7*(1+A_pore*J$8*($A139/100))/(1-J$8*(1+((1-phimax_pore)/phimax_pore^2)*($A139/100))*($A139/100))</f>
        <v>0.0827484144539104</v>
      </c>
    </row>
    <row r="140" customFormat="false" ht="15" hidden="false" customHeight="false" outlineLevel="0" collapsed="false">
      <c r="A140" s="4" t="n">
        <v>84.5</v>
      </c>
      <c r="B140" s="13" t="n">
        <f aca="false">B$5*(1+A_pore*B$6*($A140/100))/(1-B$6*(1+((1-phimax_pore)/phimax_pore^2)*($A140/100))*($A140/100))</f>
        <v>1.14008417767842</v>
      </c>
      <c r="C140" s="13" t="n">
        <f aca="false">B$7*(1+A_pore*B$8*($A140/100))/(1-B$8*(1+((1-phimax_pore)/phimax_pore^2)*($A140/100))*($A140/100))</f>
        <v>0.0303286326294685</v>
      </c>
      <c r="D140" s="13" t="n">
        <f aca="false">D$5*(1+A_pore*D$6*($A140/100))/(1-D$6*(1+((1-phimax_pore)/phimax_pore^2)*($A140/100))*($A140/100))</f>
        <v>1.14313111388292</v>
      </c>
      <c r="E140" s="13" t="n">
        <f aca="false">D$7*(1+A_pore*D$8*($A140/100))/(1-D$8*(1+((1-phimax_pore)/phimax_pore^2)*($A140/100))*($A140/100))</f>
        <v>0.0312512865465226</v>
      </c>
      <c r="F140" s="13" t="n">
        <f aca="false">F$5*(1+A_pore*F$6*($A140/100))/(1-F$6*(1+((1-phimax_pore)/phimax_pore^2)*($A140/100))*($A140/100))</f>
        <v>1.1501246837125</v>
      </c>
      <c r="G140" s="13" t="n">
        <f aca="false">F$7*(1+A_pore*F$8*($A140/100))/(1-F$8*(1+((1-phimax_pore)/phimax_pore^2)*($A140/100))*($A140/100))</f>
        <v>0.0335655404346081</v>
      </c>
      <c r="H140" s="13" t="n">
        <f aca="false">H$5*(1+A_pore*H$6*($A140/100))/(1-H$6*(1+((1-phimax_pore)/phimax_pore^2)*($A140/100))*($A140/100))</f>
        <v>1.1587099410632</v>
      </c>
      <c r="I140" s="13" t="n">
        <f aca="false">H$7*(1+A_pore*H$8*($A140/100))/(1-H$8*(1+((1-phimax_pore)/phimax_pore^2)*($A140/100))*($A140/100))</f>
        <v>0.0385435444087625</v>
      </c>
      <c r="J140" s="13" t="n">
        <f aca="false">J$5*(1+A_pore*J$6*($A140/100))/(1-J$6*(1+((1-phimax_pore)/phimax_pore^2)*($A140/100))*($A140/100))</f>
        <v>1.16964123563178</v>
      </c>
      <c r="K140" s="13" t="n">
        <f aca="false">J$7*(1+A_pore*J$8*($A140/100))/(1-J$8*(1+((1-phimax_pore)/phimax_pore^2)*($A140/100))*($A140/100))</f>
        <v>0.080668868021101</v>
      </c>
    </row>
    <row r="141" customFormat="false" ht="15" hidden="false" customHeight="false" outlineLevel="0" collapsed="false">
      <c r="A141" s="4" t="n">
        <v>85</v>
      </c>
      <c r="B141" s="13" t="n">
        <f aca="false">B$5*(1+A_pore*B$6*($A141/100))/(1-B$6*(1+((1-phimax_pore)/phimax_pore^2)*($A141/100))*($A141/100))</f>
        <v>1.13482701860309</v>
      </c>
      <c r="C141" s="13" t="n">
        <f aca="false">B$7*(1+A_pore*B$8*($A141/100))/(1-B$8*(1+((1-phimax_pore)/phimax_pore^2)*($A141/100))*($A141/100))</f>
        <v>0.0301649998287682</v>
      </c>
      <c r="D141" s="13" t="n">
        <f aca="false">D$5*(1+A_pore*D$6*($A141/100))/(1-D$6*(1+((1-phimax_pore)/phimax_pore^2)*($A141/100))*($A141/100))</f>
        <v>1.13775414302406</v>
      </c>
      <c r="E141" s="13" t="n">
        <f aca="false">D$7*(1+A_pore*D$8*($A141/100))/(1-D$8*(1+((1-phimax_pore)/phimax_pore^2)*($A141/100))*($A141/100))</f>
        <v>0.031051735387523</v>
      </c>
      <c r="F141" s="13" t="n">
        <f aca="false">F$5*(1+A_pore*F$6*($A141/100))/(1-F$6*(1+((1-phimax_pore)/phimax_pore^2)*($A141/100))*($A141/100))</f>
        <v>1.14447283468125</v>
      </c>
      <c r="G141" s="13" t="n">
        <f aca="false">F$7*(1+A_pore*F$8*($A141/100))/(1-F$8*(1+((1-phimax_pore)/phimax_pore^2)*($A141/100))*($A141/100))</f>
        <v>0.0332773741965321</v>
      </c>
      <c r="H141" s="13" t="n">
        <f aca="false">H$5*(1+A_pore*H$6*($A141/100))/(1-H$6*(1+((1-phimax_pore)/phimax_pore^2)*($A141/100))*($A141/100))</f>
        <v>1.15272106541432</v>
      </c>
      <c r="I141" s="13" t="n">
        <f aca="false">H$7*(1+A_pore*H$8*($A141/100))/(1-H$8*(1+((1-phimax_pore)/phimax_pore^2)*($A141/100))*($A141/100))</f>
        <v>0.0380674175477706</v>
      </c>
      <c r="J141" s="13" t="n">
        <f aca="false">J$5*(1+A_pore*J$6*($A141/100))/(1-J$6*(1+((1-phimax_pore)/phimax_pore^2)*($A141/100))*($A141/100))</f>
        <v>1.16322420725704</v>
      </c>
      <c r="K141" s="13" t="n">
        <f aca="false">J$7*(1+A_pore*J$8*($A141/100))/(1-J$8*(1+((1-phimax_pore)/phimax_pore^2)*($A141/100))*($A141/100))</f>
        <v>0.0786116692416308</v>
      </c>
    </row>
    <row r="142" customFormat="false" ht="15" hidden="false" customHeight="false" outlineLevel="0" collapsed="false">
      <c r="A142" s="4" t="n">
        <v>85.5</v>
      </c>
      <c r="B142" s="13" t="n">
        <f aca="false">B$5*(1+A_pore*B$6*($A142/100))/(1-B$6*(1+((1-phimax_pore)/phimax_pore^2)*($A142/100))*($A142/100))</f>
        <v>1.12960835069554</v>
      </c>
      <c r="C142" s="13" t="n">
        <f aca="false">B$7*(1+A_pore*B$8*($A142/100))/(1-B$8*(1+((1-phimax_pore)/phimax_pore^2)*($A142/100))*($A142/100))</f>
        <v>0.0300026958594141</v>
      </c>
      <c r="D142" s="13" t="n">
        <f aca="false">D$5*(1+A_pore*D$6*($A142/100))/(1-D$6*(1+((1-phimax_pore)/phimax_pore^2)*($A142/100))*($A142/100))</f>
        <v>1.13241710252456</v>
      </c>
      <c r="E142" s="13" t="n">
        <f aca="false">D$7*(1+A_pore*D$8*($A142/100))/(1-D$8*(1+((1-phimax_pore)/phimax_pore^2)*($A142/100))*($A142/100))</f>
        <v>0.0308539519549045</v>
      </c>
      <c r="F142" s="13" t="n">
        <f aca="false">F$5*(1+A_pore*F$6*($A142/100))/(1-F$6*(1+((1-phimax_pore)/phimax_pore^2)*($A142/100))*($A142/100))</f>
        <v>1.13886424352096</v>
      </c>
      <c r="G142" s="13" t="n">
        <f aca="false">F$7*(1+A_pore*F$8*($A142/100))/(1-F$8*(1+((1-phimax_pore)/phimax_pore^2)*($A142/100))*($A142/100))</f>
        <v>0.0329920140602792</v>
      </c>
      <c r="H142" s="13" t="n">
        <f aca="false">H$5*(1+A_pore*H$6*($A142/100))/(1-H$6*(1+((1-phimax_pore)/phimax_pore^2)*($A142/100))*($A142/100))</f>
        <v>1.14677956178249</v>
      </c>
      <c r="I142" s="13" t="n">
        <f aca="false">H$7*(1+A_pore*H$8*($A142/100))/(1-H$8*(1+((1-phimax_pore)/phimax_pore^2)*($A142/100))*($A142/100))</f>
        <v>0.0375961856408961</v>
      </c>
      <c r="J142" s="13" t="n">
        <f aca="false">J$5*(1+A_pore*J$6*($A142/100))/(1-J$6*(1+((1-phimax_pore)/phimax_pore^2)*($A142/100))*($A142/100))</f>
        <v>1.15685980373518</v>
      </c>
      <c r="K142" s="13" t="n">
        <f aca="false">J$7*(1+A_pore*J$8*($A142/100))/(1-J$8*(1+((1-phimax_pore)/phimax_pore^2)*($A142/100))*($A142/100))</f>
        <v>0.0765764624076323</v>
      </c>
    </row>
    <row r="143" customFormat="false" ht="15" hidden="false" customHeight="false" outlineLevel="0" collapsed="false">
      <c r="A143" s="4" t="n">
        <v>86</v>
      </c>
      <c r="B143" s="13" t="n">
        <f aca="false">B$5*(1+A_pore*B$6*($A143/100))/(1-B$6*(1+((1-phimax_pore)/phimax_pore^2)*($A143/100))*($A143/100))</f>
        <v>1.12442775394477</v>
      </c>
      <c r="C143" s="13" t="n">
        <f aca="false">B$7*(1+A_pore*B$8*($A143/100))/(1-B$8*(1+((1-phimax_pore)/phimax_pore^2)*($A143/100))*($A143/100))</f>
        <v>0.029841704648784</v>
      </c>
      <c r="D143" s="13" t="n">
        <f aca="false">D$5*(1+A_pore*D$6*($A143/100))/(1-D$6*(1+((1-phimax_pore)/phimax_pore^2)*($A143/100))*($A143/100))</f>
        <v>1.12711955048158</v>
      </c>
      <c r="E143" s="13" t="n">
        <f aca="false">D$7*(1+A_pore*D$8*($A143/100))/(1-D$8*(1+((1-phimax_pore)/phimax_pore^2)*($A143/100))*($A143/100))</f>
        <v>0.0306579129433137</v>
      </c>
      <c r="F143" s="13" t="n">
        <f aca="false">F$5*(1+A_pore*F$6*($A143/100))/(1-F$6*(1+((1-phimax_pore)/phimax_pore^2)*($A143/100))*($A143/100))</f>
        <v>1.1332984169156</v>
      </c>
      <c r="G143" s="13" t="n">
        <f aca="false">F$7*(1+A_pore*F$8*($A143/100))/(1-F$8*(1+((1-phimax_pore)/phimax_pore^2)*($A143/100))*($A143/100))</f>
        <v>0.0327094194165774</v>
      </c>
      <c r="H143" s="13" t="n">
        <f aca="false">H$5*(1+A_pore*H$6*($A143/100))/(1-H$6*(1+((1-phimax_pore)/phimax_pore^2)*($A143/100))*($A143/100))</f>
        <v>1.14088487196083</v>
      </c>
      <c r="I143" s="13" t="n">
        <f aca="false">H$7*(1+A_pore*H$8*($A143/100))/(1-H$8*(1+((1-phimax_pore)/phimax_pore^2)*($A143/100))*($A143/100))</f>
        <v>0.0371297740117916</v>
      </c>
      <c r="J143" s="13" t="n">
        <f aca="false">J$5*(1+A_pore*J$6*($A143/100))/(1-J$6*(1+((1-phimax_pore)/phimax_pore^2)*($A143/100))*($A143/100))</f>
        <v>1.15054738232901</v>
      </c>
      <c r="K143" s="13" t="n">
        <f aca="false">J$7*(1+A_pore*J$8*($A143/100))/(1-J$8*(1+((1-phimax_pore)/phimax_pore^2)*($A143/100))*($A143/100))</f>
        <v>0.074562899319954</v>
      </c>
    </row>
    <row r="144" customFormat="false" ht="15" hidden="false" customHeight="false" outlineLevel="0" collapsed="false">
      <c r="A144" s="4" t="n">
        <v>86.5</v>
      </c>
      <c r="B144" s="13" t="n">
        <f aca="false">B$5*(1+A_pore*B$6*($A144/100))/(1-B$6*(1+((1-phimax_pore)/phimax_pore^2)*($A144/100))*($A144/100))</f>
        <v>1.11928481442821</v>
      </c>
      <c r="C144" s="13" t="n">
        <f aca="false">B$7*(1+A_pore*B$8*($A144/100))/(1-B$8*(1+((1-phimax_pore)/phimax_pore^2)*($A144/100))*($A144/100))</f>
        <v>0.0296820103824095</v>
      </c>
      <c r="D144" s="13" t="n">
        <f aca="false">D$5*(1+A_pore*D$6*($A144/100))/(1-D$6*(1+((1-phimax_pore)/phimax_pore^2)*($A144/100))*($A144/100))</f>
        <v>1.12186105148864</v>
      </c>
      <c r="E144" s="13" t="n">
        <f aca="false">D$7*(1+A_pore*D$8*($A144/100))/(1-D$8*(1+((1-phimax_pore)/phimax_pore^2)*($A144/100))*($A144/100))</f>
        <v>0.0304635954552595</v>
      </c>
      <c r="F144" s="13" t="n">
        <f aca="false">F$5*(1+A_pore*F$6*($A144/100))/(1-F$6*(1+((1-phimax_pore)/phimax_pore^2)*($A144/100))*($A144/100))</f>
        <v>1.12777486902157</v>
      </c>
      <c r="G144" s="13" t="n">
        <f aca="false">F$7*(1+A_pore*F$8*($A144/100))/(1-F$8*(1+((1-phimax_pore)/phimax_pore^2)*($A144/100))*($A144/100))</f>
        <v>0.0324295504359406</v>
      </c>
      <c r="H144" s="13" t="n">
        <f aca="false">H$5*(1+A_pore*H$6*($A144/100))/(1-H$6*(1+((1-phimax_pore)/phimax_pore^2)*($A144/100))*($A144/100))</f>
        <v>1.13503644647797</v>
      </c>
      <c r="I144" s="13" t="n">
        <f aca="false">H$7*(1+A_pore*H$8*($A144/100))/(1-H$8*(1+((1-phimax_pore)/phimax_pore^2)*($A144/100))*($A144/100))</f>
        <v>0.0366681094953344</v>
      </c>
      <c r="J144" s="13" t="n">
        <f aca="false">J$5*(1+A_pore*J$6*($A144/100))/(1-J$6*(1+((1-phimax_pore)/phimax_pore^2)*($A144/100))*($A144/100))</f>
        <v>1.14428631072537</v>
      </c>
      <c r="K144" s="13" t="n">
        <f aca="false">J$7*(1+A_pore*J$8*($A144/100))/(1-J$8*(1+((1-phimax_pore)/phimax_pore^2)*($A144/100))*($A144/100))</f>
        <v>0.0725706390910721</v>
      </c>
    </row>
    <row r="145" customFormat="false" ht="15" hidden="false" customHeight="false" outlineLevel="0" collapsed="false">
      <c r="A145" s="4" t="n">
        <v>87</v>
      </c>
      <c r="B145" s="13" t="n">
        <f aca="false">B$5*(1+A_pore*B$6*($A145/100))/(1-B$6*(1+((1-phimax_pore)/phimax_pore^2)*($A145/100))*($A145/100))</f>
        <v>1.1141791242018</v>
      </c>
      <c r="C145" s="13" t="n">
        <f aca="false">B$7*(1+A_pore*B$8*($A145/100))/(1-B$8*(1+((1-phimax_pore)/phimax_pore^2)*($A145/100))*($A145/100))</f>
        <v>0.0295235974988135</v>
      </c>
      <c r="D145" s="13" t="n">
        <f aca="false">D$5*(1+A_pore*D$6*($A145/100))/(1-D$6*(1+((1-phimax_pore)/phimax_pore^2)*($A145/100))*($A145/100))</f>
        <v>1.11664117651677</v>
      </c>
      <c r="E145" s="13" t="n">
        <f aca="false">D$7*(1+A_pore*D$8*($A145/100))/(1-D$8*(1+((1-phimax_pore)/phimax_pore^2)*($A145/100))*($A145/100))</f>
        <v>0.0302709769922297</v>
      </c>
      <c r="F145" s="13" t="n">
        <f aca="false">F$5*(1+A_pore*F$6*($A145/100))/(1-F$6*(1+((1-phimax_pore)/phimax_pore^2)*($A145/100))*($A145/100))</f>
        <v>1.12229312132671</v>
      </c>
      <c r="G145" s="13" t="n">
        <f aca="false">F$7*(1+A_pore*F$8*($A145/100))/(1-F$8*(1+((1-phimax_pore)/phimax_pore^2)*($A145/100))*($A145/100))</f>
        <v>0.0321523680500422</v>
      </c>
      <c r="H145" s="13" t="n">
        <f aca="false">H$5*(1+A_pore*H$6*($A145/100))/(1-H$6*(1+((1-phimax_pore)/phimax_pore^2)*($A145/100))*($A145/100))</f>
        <v>1.12923374442783</v>
      </c>
      <c r="I145" s="13" t="n">
        <f aca="false">H$7*(1+A_pore*H$8*($A145/100))/(1-H$8*(1+((1-phimax_pore)/phimax_pore^2)*($A145/100))*($A145/100))</f>
        <v>0.0362111203995908</v>
      </c>
      <c r="J145" s="13" t="n">
        <f aca="false">J$5*(1+A_pore*J$6*($A145/100))/(1-J$6*(1+((1-phimax_pore)/phimax_pore^2)*($A145/100))*($A145/100))</f>
        <v>1.13807596682458</v>
      </c>
      <c r="K145" s="13" t="n">
        <f aca="false">J$7*(1+A_pore*J$8*($A145/100))/(1-J$8*(1+((1-phimax_pore)/phimax_pore^2)*($A145/100))*($A145/100))</f>
        <v>0.0705993479541768</v>
      </c>
    </row>
    <row r="146" customFormat="false" ht="15" hidden="false" customHeight="false" outlineLevel="0" collapsed="false">
      <c r="A146" s="4" t="n">
        <v>87.5</v>
      </c>
      <c r="B146" s="13" t="n">
        <f aca="false">B$5*(1+A_pore*B$6*($A146/100))/(1-B$6*(1+((1-phimax_pore)/phimax_pore^2)*($A146/100))*($A146/100))</f>
        <v>1.10911028119243</v>
      </c>
      <c r="C146" s="13" t="n">
        <f aca="false">B$7*(1+A_pore*B$8*($A146/100))/(1-B$8*(1+((1-phimax_pore)/phimax_pore^2)*($A146/100))*($A146/100))</f>
        <v>0.0293664506844718</v>
      </c>
      <c r="D146" s="13" t="n">
        <f aca="false">D$5*(1+A_pore*D$6*($A146/100))/(1-D$6*(1+((1-phimax_pore)/phimax_pore^2)*($A146/100))*($A146/100))</f>
        <v>1.11145950279808</v>
      </c>
      <c r="E146" s="13" t="n">
        <f aca="false">D$7*(1+A_pore*D$8*($A146/100))/(1-D$8*(1+((1-phimax_pore)/phimax_pore^2)*($A146/100))*($A146/100))</f>
        <v>0.0300800354460383</v>
      </c>
      <c r="F146" s="13" t="n">
        <f aca="false">F$5*(1+A_pore*F$6*($A146/100))/(1-F$6*(1+((1-phimax_pore)/phimax_pore^2)*($A146/100))*($A146/100))</f>
        <v>1.1168527025125</v>
      </c>
      <c r="G146" s="13" t="n">
        <f aca="false">F$7*(1+A_pore*F$8*($A146/100))/(1-F$8*(1+((1-phimax_pore)/phimax_pore^2)*($A146/100))*($A146/100))</f>
        <v>0.0318778339336181</v>
      </c>
      <c r="H146" s="13" t="n">
        <f aca="false">H$5*(1+A_pore*H$6*($A146/100))/(1-H$6*(1+((1-phimax_pore)/phimax_pore^2)*($A146/100))*($A146/100))</f>
        <v>1.1234762333034</v>
      </c>
      <c r="I146" s="13" t="n">
        <f aca="false">H$7*(1+A_pore*H$8*($A146/100))/(1-H$8*(1+((1-phimax_pore)/phimax_pore^2)*($A146/100))*($A146/100))</f>
        <v>0.0357587364689232</v>
      </c>
      <c r="J146" s="13" t="n">
        <f aca="false">J$5*(1+A_pore*J$6*($A146/100))/(1-J$6*(1+((1-phimax_pore)/phimax_pore^2)*($A146/100))*($A146/100))</f>
        <v>1.13191573853512</v>
      </c>
      <c r="K146" s="13" t="n">
        <f aca="false">J$7*(1+A_pore*J$8*($A146/100))/(1-J$8*(1+((1-phimax_pore)/phimax_pore^2)*($A146/100))*($A146/100))</f>
        <v>0.0686486990782099</v>
      </c>
    </row>
    <row r="147" customFormat="false" ht="15" hidden="false" customHeight="false" outlineLevel="0" collapsed="false">
      <c r="A147" s="4" t="n">
        <v>88</v>
      </c>
      <c r="B147" s="13" t="n">
        <f aca="false">B$5*(1+A_pore*B$6*($A147/100))/(1-B$6*(1+((1-phimax_pore)/phimax_pore^2)*($A147/100))*($A147/100))</f>
        <v>1.10407788909271</v>
      </c>
      <c r="C147" s="13" t="n">
        <f aca="false">B$7*(1+A_pore*B$8*($A147/100))/(1-B$8*(1+((1-phimax_pore)/phimax_pore^2)*($A147/100))*($A147/100))</f>
        <v>0.0292105548688937</v>
      </c>
      <c r="D147" s="13" t="n">
        <f aca="false">D$5*(1+A_pore*D$6*($A147/100))/(1-D$6*(1+((1-phimax_pore)/phimax_pore^2)*($A147/100))*($A147/100))</f>
        <v>1.10631561371205</v>
      </c>
      <c r="E147" s="13" t="n">
        <f aca="false">D$7*(1+A_pore*D$8*($A147/100))/(1-D$8*(1+((1-phimax_pore)/phimax_pore^2)*($A147/100))*($A147/100))</f>
        <v>0.029890749090398</v>
      </c>
      <c r="F147" s="13" t="n">
        <f aca="false">F$5*(1+A_pore*F$6*($A147/100))/(1-F$6*(1+((1-phimax_pore)/phimax_pore^2)*($A147/100))*($A147/100))</f>
        <v>1.11145314831946</v>
      </c>
      <c r="G147" s="13" t="n">
        <f aca="false">F$7*(1+A_pore*F$8*($A147/100))/(1-F$8*(1+((1-phimax_pore)/phimax_pore^2)*($A147/100))*($A147/100))</f>
        <v>0.0316059104868848</v>
      </c>
      <c r="H147" s="13" t="n">
        <f aca="false">H$5*(1+A_pore*H$6*($A147/100))/(1-H$6*(1+((1-phimax_pore)/phimax_pore^2)*($A147/100))*($A147/100))</f>
        <v>1.11776338883429</v>
      </c>
      <c r="I147" s="13" t="n">
        <f aca="false">H$7*(1+A_pore*H$8*($A147/100))/(1-H$8*(1+((1-phimax_pore)/phimax_pore^2)*($A147/100))*($A147/100))</f>
        <v>0.0353108888482007</v>
      </c>
      <c r="J147" s="13" t="n">
        <f aca="false">J$5*(1+A_pore*J$6*($A147/100))/(1-J$6*(1+((1-phimax_pore)/phimax_pore^2)*($A147/100))*($A147/100))</f>
        <v>1.1258050235731</v>
      </c>
      <c r="K147" s="13" t="n">
        <f aca="false">J$7*(1+A_pore*J$8*($A147/100))/(1-J$8*(1+((1-phimax_pore)/phimax_pore^2)*($A147/100))*($A147/100))</f>
        <v>0.0667183723886381</v>
      </c>
    </row>
    <row r="148" customFormat="false" ht="15" hidden="false" customHeight="false" outlineLevel="0" collapsed="false">
      <c r="A148" s="4" t="n">
        <v>88.5</v>
      </c>
      <c r="B148" s="13" t="n">
        <f aca="false">B$5*(1+A_pore*B$6*($A148/100))/(1-B$6*(1+((1-phimax_pore)/phimax_pore^2)*($A148/100))*($A148/100))</f>
        <v>1.09908155725799</v>
      </c>
      <c r="C148" s="13" t="n">
        <f aca="false">B$7*(1+A_pore*B$8*($A148/100))/(1-B$8*(1+((1-phimax_pore)/phimax_pore^2)*($A148/100))*($A148/100))</f>
        <v>0.0290558952198199</v>
      </c>
      <c r="D148" s="13" t="n">
        <f aca="false">D$5*(1+A_pore*D$6*($A148/100))/(1-D$6*(1+((1-phimax_pore)/phimax_pore^2)*($A148/100))*($A148/100))</f>
        <v>1.10120909867412</v>
      </c>
      <c r="E148" s="13" t="n">
        <f aca="false">D$7*(1+A_pore*D$8*($A148/100))/(1-D$8*(1+((1-phimax_pore)/phimax_pore^2)*($A148/100))*($A148/100))</f>
        <v>0.0297030965727089</v>
      </c>
      <c r="F148" s="13" t="n">
        <f aca="false">F$5*(1+A_pore*F$6*($A148/100))/(1-F$6*(1+((1-phimax_pore)/phimax_pore^2)*($A148/100))*($A148/100))</f>
        <v>1.10609400141541</v>
      </c>
      <c r="G148" s="13" t="n">
        <f aca="false">F$7*(1+A_pore*F$8*($A148/100))/(1-F$8*(1+((1-phimax_pore)/phimax_pore^2)*($A148/100))*($A148/100))</f>
        <v>0.0313365608184541</v>
      </c>
      <c r="H148" s="13" t="n">
        <f aca="false">H$5*(1+A_pore*H$6*($A148/100))/(1-H$6*(1+((1-phimax_pore)/phimax_pore^2)*($A148/100))*($A148/100))</f>
        <v>1.11209469482815</v>
      </c>
      <c r="I148" s="13" t="n">
        <f aca="false">H$7*(1+A_pore*H$8*($A148/100))/(1-H$8*(1+((1-phimax_pore)/phimax_pore^2)*($A148/100))*($A148/100))</f>
        <v>0.0348675100480738</v>
      </c>
      <c r="J148" s="13" t="n">
        <f aca="false">J$5*(1+A_pore*J$6*($A148/100))/(1-J$6*(1+((1-phimax_pore)/phimax_pore^2)*($A148/100))*($A148/100))</f>
        <v>1.11974322926669</v>
      </c>
      <c r="K148" s="13" t="n">
        <f aca="false">J$7*(1+A_pore*J$8*($A148/100))/(1-J$8*(1+((1-phimax_pore)/phimax_pore^2)*($A148/100))*($A148/100))</f>
        <v>0.0648080543937549</v>
      </c>
    </row>
    <row r="149" customFormat="false" ht="15" hidden="false" customHeight="false" outlineLevel="0" collapsed="false">
      <c r="A149" s="4" t="n">
        <v>89</v>
      </c>
      <c r="B149" s="13" t="n">
        <f aca="false">B$5*(1+A_pore*B$6*($A149/100))/(1-B$6*(1+((1-phimax_pore)/phimax_pore^2)*($A149/100))*($A149/100))</f>
        <v>1.09412090060558</v>
      </c>
      <c r="C149" s="13" t="n">
        <f aca="false">B$7*(1+A_pore*B$8*($A149/100))/(1-B$8*(1+((1-phimax_pore)/phimax_pore^2)*($A149/100))*($A149/100))</f>
        <v>0.0289024571385337</v>
      </c>
      <c r="D149" s="13" t="n">
        <f aca="false">D$5*(1+A_pore*D$6*($A149/100))/(1-D$6*(1+((1-phimax_pore)/phimax_pore^2)*($A149/100))*($A149/100))</f>
        <v>1.09613955302684</v>
      </c>
      <c r="E149" s="13" t="n">
        <f aca="false">D$7*(1+A_pore*D$8*($A149/100))/(1-D$8*(1+((1-phimax_pore)/phimax_pore^2)*($A149/100))*($A149/100))</f>
        <v>0.0295170569060588</v>
      </c>
      <c r="F149" s="13" t="n">
        <f aca="false">F$5*(1+A_pore*F$6*($A149/100))/(1-F$6*(1+((1-phimax_pore)/phimax_pore^2)*($A149/100))*($A149/100))</f>
        <v>1.1007748112668</v>
      </c>
      <c r="G149" s="13" t="n">
        <f aca="false">F$7*(1+A_pore*F$8*($A149/100))/(1-F$8*(1+((1-phimax_pore)/phimax_pore^2)*($A149/100))*($A149/100))</f>
        <v>0.0310697487287277</v>
      </c>
      <c r="H149" s="13" t="n">
        <f aca="false">H$5*(1+A_pore*H$6*($A149/100))/(1-H$6*(1+((1-phimax_pore)/phimax_pore^2)*($A149/100))*($A149/100))</f>
        <v>1.10646964301566</v>
      </c>
      <c r="I149" s="13" t="n">
        <f aca="false">H$7*(1+A_pore*H$8*($A149/100))/(1-H$8*(1+((1-phimax_pore)/phimax_pore^2)*($A149/100))*($A149/100))</f>
        <v>0.0344285339112781</v>
      </c>
      <c r="J149" s="13" t="n">
        <f aca="false">J$5*(1+A_pore*J$6*($A149/100))/(1-J$6*(1+((1-phimax_pore)/phimax_pore^2)*($A149/100))*($A149/100))</f>
        <v>1.11372977236507</v>
      </c>
      <c r="K149" s="13" t="n">
        <f aca="false">J$7*(1+A_pore*J$8*($A149/100))/(1-J$8*(1+((1-phimax_pore)/phimax_pore^2)*($A149/100))*($A149/100))</f>
        <v>0.0629174380163141</v>
      </c>
    </row>
    <row r="150" customFormat="false" ht="15" hidden="false" customHeight="false" outlineLevel="0" collapsed="false">
      <c r="A150" s="4" t="n">
        <v>89.5</v>
      </c>
      <c r="B150" s="13" t="n">
        <f aca="false">B$5*(1+A_pore*B$6*($A150/100))/(1-B$6*(1+((1-phimax_pore)/phimax_pore^2)*($A150/100))*($A150/100))</f>
        <v>1.08919553951611</v>
      </c>
      <c r="C150" s="13" t="n">
        <f aca="false">B$7*(1+A_pore*B$8*($A150/100))/(1-B$8*(1+((1-phimax_pore)/phimax_pore^2)*($A150/100))*($A150/100))</f>
        <v>0.0287502262552825</v>
      </c>
      <c r="D150" s="13" t="n">
        <f aca="false">D$5*(1+A_pore*D$6*($A150/100))/(1-D$6*(1+((1-phimax_pore)/phimax_pore^2)*($A150/100))*($A150/100))</f>
        <v>1.09110657793325</v>
      </c>
      <c r="E150" s="13" t="n">
        <f aca="false">D$7*(1+A_pore*D$8*($A150/100))/(1-D$8*(1+((1-phimax_pore)/phimax_pore^2)*($A150/100))*($A150/100))</f>
        <v>0.0293326094614283</v>
      </c>
      <c r="F150" s="13" t="n">
        <f aca="false">F$5*(1+A_pore*F$6*($A150/100))/(1-F$6*(1+((1-phimax_pore)/phimax_pore^2)*($A150/100))*($A150/100))</f>
        <v>1.09549513401282</v>
      </c>
      <c r="G150" s="13" t="n">
        <f aca="false">F$7*(1+A_pore*F$8*($A150/100))/(1-F$8*(1+((1-phimax_pore)/phimax_pore^2)*($A150/100))*($A150/100))</f>
        <v>0.0308054386937579</v>
      </c>
      <c r="H150" s="13" t="n">
        <f aca="false">H$5*(1+A_pore*H$6*($A150/100))/(1-H$6*(1+((1-phimax_pore)/phimax_pore^2)*($A150/100))*($A150/100))</f>
        <v>1.10088773289909</v>
      </c>
      <c r="I150" s="13" t="n">
        <f aca="false">H$7*(1+A_pore*H$8*($A150/100))/(1-H$8*(1+((1-phimax_pore)/phimax_pore^2)*($A150/100))*($A150/100))</f>
        <v>0.0339938955799302</v>
      </c>
      <c r="J150" s="13" t="n">
        <f aca="false">J$5*(1+A_pore*J$6*($A150/100))/(1-J$6*(1+((1-phimax_pore)/phimax_pore^2)*($A150/100))*($A150/100))</f>
        <v>1.10776407885199</v>
      </c>
      <c r="K150" s="13" t="n">
        <f aca="false">J$7*(1+A_pore*J$8*($A150/100))/(1-J$8*(1+((1-phimax_pore)/phimax_pore^2)*($A150/100))*($A150/100))</f>
        <v>0.0610462224303042</v>
      </c>
    </row>
    <row r="151" customFormat="false" ht="15" hidden="false" customHeight="false" outlineLevel="0" collapsed="false">
      <c r="A151" s="4" t="n">
        <v>90</v>
      </c>
      <c r="B151" s="13" t="n">
        <f aca="false">B$5*(1+A_pore*B$6*($A151/100))/(1-B$6*(1+((1-phimax_pore)/phimax_pore^2)*($A151/100))*($A151/100))</f>
        <v>1.08430509973698</v>
      </c>
      <c r="C151" s="13" t="n">
        <f aca="false">B$7*(1+A_pore*B$8*($A151/100))/(1-B$8*(1+((1-phimax_pore)/phimax_pore^2)*($A151/100))*($A151/100))</f>
        <v>0.0285991884248063</v>
      </c>
      <c r="D151" s="13" t="n">
        <f aca="false">D$5*(1+A_pore*D$6*($A151/100))/(1-D$6*(1+((1-phimax_pore)/phimax_pore^2)*($A151/100))*($A151/100))</f>
        <v>1.08610978027265</v>
      </c>
      <c r="E151" s="13" t="n">
        <f aca="false">D$7*(1+A_pore*D$8*($A151/100))/(1-D$8*(1+((1-phimax_pore)/phimax_pore^2)*($A151/100))*($A151/100))</f>
        <v>0.0291497339600941</v>
      </c>
      <c r="F151" s="13" t="n">
        <f aca="false">F$5*(1+A_pore*F$6*($A151/100))/(1-F$6*(1+((1-phimax_pore)/phimax_pore^2)*($A151/100))*($A151/100))</f>
        <v>1.09025453234232</v>
      </c>
      <c r="G151" s="13" t="n">
        <f aca="false">F$7*(1+A_pore*F$8*($A151/100))/(1-F$8*(1+((1-phimax_pore)/phimax_pore^2)*($A151/100))*($A151/100))</f>
        <v>0.0305435958495569</v>
      </c>
      <c r="H151" s="13" t="n">
        <f aca="false">H$5*(1+A_pore*H$6*($A151/100))/(1-H$6*(1+((1-phimax_pore)/phimax_pore^2)*($A151/100))*($A151/100))</f>
        <v>1.09534847160432</v>
      </c>
      <c r="I151" s="13" t="n">
        <f aca="false">H$7*(1+A_pore*H$8*($A151/100))/(1-H$8*(1+((1-phimax_pore)/phimax_pore^2)*($A151/100))*($A151/100))</f>
        <v>0.0335635314637824</v>
      </c>
      <c r="J151" s="13" t="n">
        <f aca="false">J$5*(1+A_pore*J$6*($A151/100))/(1-J$6*(1+((1-phimax_pore)/phimax_pore^2)*($A151/100))*($A151/100))</f>
        <v>1.10184558376374</v>
      </c>
      <c r="K151" s="13" t="n">
        <f aca="false">J$7*(1+A_pore*J$8*($A151/100))/(1-J$8*(1+((1-phimax_pore)/phimax_pore^2)*($A151/100))*($A151/100))</f>
        <v>0.0591941129026818</v>
      </c>
    </row>
    <row r="152" customFormat="false" ht="15" hidden="false" customHeight="false" outlineLevel="0" collapsed="false">
      <c r="A152" s="4" t="n">
        <v>90.5</v>
      </c>
      <c r="B152" s="13" t="n">
        <f aca="false">B$5*(1+A_pore*B$6*($A152/100))/(1-B$6*(1+((1-phimax_pore)/phimax_pore^2)*($A152/100))*($A152/100))</f>
        <v>1.07944921228787</v>
      </c>
      <c r="C152" s="13" t="n">
        <f aca="false">B$7*(1+A_pore*B$8*($A152/100))/(1-B$8*(1+((1-phimax_pore)/phimax_pore^2)*($A152/100))*($A152/100))</f>
        <v>0.028449329721971</v>
      </c>
      <c r="D152" s="13" t="n">
        <f aca="false">D$5*(1+A_pore*D$6*($A152/100))/(1-D$6*(1+((1-phimax_pore)/phimax_pore^2)*($A152/100))*($A152/100))</f>
        <v>1.0811487725385</v>
      </c>
      <c r="E152" s="13" t="n">
        <f aca="false">D$7*(1+A_pore*D$8*($A152/100))/(1-D$8*(1+((1-phimax_pore)/phimax_pore^2)*($A152/100))*($A152/100))</f>
        <v>0.028968410466225</v>
      </c>
      <c r="F152" s="13" t="n">
        <f aca="false">F$5*(1+A_pore*F$6*($A152/100))/(1-F$6*(1+((1-phimax_pore)/phimax_pore^2)*($A152/100))*($A152/100))</f>
        <v>1.08505257537345</v>
      </c>
      <c r="G152" s="13" t="n">
        <f aca="false">F$7*(1+A_pore*F$8*($A152/100))/(1-F$8*(1+((1-phimax_pore)/phimax_pore^2)*($A152/100))*($A152/100))</f>
        <v>0.0302841859768422</v>
      </c>
      <c r="H152" s="13" t="n">
        <f aca="false">H$5*(1+A_pore*H$6*($A152/100))/(1-H$6*(1+((1-phimax_pore)/phimax_pore^2)*($A152/100))*($A152/100))</f>
        <v>1.08985137373627</v>
      </c>
      <c r="I152" s="13" t="n">
        <f aca="false">H$7*(1+A_pore*H$8*($A152/100))/(1-H$8*(1+((1-phimax_pore)/phimax_pore^2)*($A152/100))*($A152/100))</f>
        <v>0.0331373792094037</v>
      </c>
      <c r="J152" s="13" t="n">
        <f aca="false">J$5*(1+A_pore*J$6*($A152/100))/(1-J$6*(1+((1-phimax_pore)/phimax_pore^2)*($A152/100))*($A152/100))</f>
        <v>1.0959737310114</v>
      </c>
      <c r="K152" s="13" t="n">
        <f aca="false">J$7*(1+A_pore*J$8*($A152/100))/(1-J$8*(1+((1-phimax_pore)/phimax_pore^2)*($A152/100))*($A152/100))</f>
        <v>0.0573608206398896</v>
      </c>
    </row>
    <row r="153" customFormat="false" ht="15" hidden="false" customHeight="false" outlineLevel="0" collapsed="false">
      <c r="A153" s="4" t="n">
        <v>91</v>
      </c>
      <c r="B153" s="13" t="n">
        <f aca="false">B$5*(1+A_pore*B$6*($A153/100))/(1-B$6*(1+((1-phimax_pore)/phimax_pore^2)*($A153/100))*($A153/100))</f>
        <v>1.07462751336821</v>
      </c>
      <c r="C153" s="13" t="n">
        <f aca="false">B$7*(1+A_pore*B$8*($A153/100))/(1-B$8*(1+((1-phimax_pore)/phimax_pore^2)*($A153/100))*($A153/100))</f>
        <v>0.028300636437503</v>
      </c>
      <c r="D153" s="13" t="n">
        <f aca="false">D$5*(1+A_pore*D$6*($A153/100))/(1-D$6*(1+((1-phimax_pore)/phimax_pore^2)*($A153/100))*($A153/100))</f>
        <v>1.07622317273862</v>
      </c>
      <c r="E153" s="13" t="n">
        <f aca="false">D$7*(1+A_pore*D$8*($A153/100))/(1-D$8*(1+((1-phimax_pore)/phimax_pore^2)*($A153/100))*($A153/100))</f>
        <v>0.028788619379665</v>
      </c>
      <c r="F153" s="13" t="n">
        <f aca="false">F$5*(1+A_pore*F$6*($A153/100))/(1-F$6*(1+((1-phimax_pore)/phimax_pore^2)*($A153/100))*($A153/100))</f>
        <v>1.07988883853595</v>
      </c>
      <c r="G153" s="13" t="n">
        <f aca="false">F$7*(1+A_pore*F$8*($A153/100))/(1-F$8*(1+((1-phimax_pore)/phimax_pore^2)*($A153/100))*($A153/100))</f>
        <v>0.0300271754862024</v>
      </c>
      <c r="H153" s="13" t="n">
        <f aca="false">H$5*(1+A_pore*H$6*($A153/100))/(1-H$6*(1+((1-phimax_pore)/phimax_pore^2)*($A153/100))*($A153/100))</f>
        <v>1.08439596123756</v>
      </c>
      <c r="I153" s="13" t="n">
        <f aca="false">H$7*(1+A_pore*H$8*($A153/100))/(1-H$8*(1+((1-phimax_pore)/phimax_pore^2)*($A153/100))*($A153/100))</f>
        <v>0.0327153776702558</v>
      </c>
      <c r="J153" s="13" t="n">
        <f aca="false">J$5*(1+A_pore*J$6*($A153/100))/(1-J$6*(1+((1-phimax_pore)/phimax_pore^2)*($A153/100))*($A153/100))</f>
        <v>1.09014797320723</v>
      </c>
      <c r="K153" s="13" t="n">
        <f aca="false">J$7*(1+A_pore*J$8*($A153/100))/(1-J$8*(1+((1-phimax_pore)/phimax_pore^2)*($A153/100))*($A153/100))</f>
        <v>0.0555460626389897</v>
      </c>
    </row>
    <row r="154" customFormat="false" ht="15" hidden="false" customHeight="false" outlineLevel="0" collapsed="false">
      <c r="A154" s="4" t="n">
        <v>91.5</v>
      </c>
      <c r="B154" s="13" t="n">
        <f aca="false">B$5*(1+A_pore*B$6*($A154/100))/(1-B$6*(1+((1-phimax_pore)/phimax_pore^2)*($A154/100))*($A154/100))</f>
        <v>1.06983964426659</v>
      </c>
      <c r="C154" s="13" t="n">
        <f aca="false">B$7*(1+A_pore*B$8*($A154/100))/(1-B$8*(1+((1-phimax_pore)/phimax_pore^2)*($A154/100))*($A154/100))</f>
        <v>0.0281530950738226</v>
      </c>
      <c r="D154" s="13" t="n">
        <f aca="false">D$5*(1+A_pore*D$6*($A154/100))/(1-D$6*(1+((1-phimax_pore)/phimax_pore^2)*($A154/100))*($A154/100))</f>
        <v>1.0713326042974</v>
      </c>
      <c r="E154" s="13" t="n">
        <f aca="false">D$7*(1+A_pore*D$8*($A154/100))/(1-D$8*(1+((1-phimax_pore)/phimax_pore^2)*($A154/100))*($A154/100))</f>
        <v>0.0286103414288978</v>
      </c>
      <c r="F154" s="13" t="n">
        <f aca="false">F$5*(1+A_pore*F$6*($A154/100))/(1-F$6*(1+((1-phimax_pore)/phimax_pore^2)*($A154/100))*($A154/100))</f>
        <v>1.07476290345597</v>
      </c>
      <c r="G154" s="13" t="n">
        <f aca="false">F$7*(1+A_pore*F$8*($A154/100))/(1-F$8*(1+((1-phimax_pore)/phimax_pore^2)*($A154/100))*($A154/100))</f>
        <v>0.0297725314036716</v>
      </c>
      <c r="H154" s="13" t="n">
        <f aca="false">H$5*(1+A_pore*H$6*($A154/100))/(1-H$6*(1+((1-phimax_pore)/phimax_pore^2)*($A154/100))*($A154/100))</f>
        <v>1.07898176325036</v>
      </c>
      <c r="I154" s="13" t="n">
        <f aca="false">H$7*(1+A_pore*H$8*($A154/100))/(1-H$8*(1+((1-phimax_pore)/phimax_pore^2)*($A154/100))*($A154/100))</f>
        <v>0.032297466877633</v>
      </c>
      <c r="J154" s="13" t="n">
        <f aca="false">J$5*(1+A_pore*J$6*($A154/100))/(1-J$6*(1+((1-phimax_pore)/phimax_pore^2)*($A154/100))*($A154/100))</f>
        <v>1.08436777149519</v>
      </c>
      <c r="K154" s="13" t="n">
        <f aca="false">J$7*(1+A_pore*J$8*($A154/100))/(1-J$8*(1+((1-phimax_pore)/phimax_pore^2)*($A154/100))*($A154/100))</f>
        <v>0.0537495615432528</v>
      </c>
    </row>
    <row r="155" customFormat="false" ht="15" hidden="false" customHeight="false" outlineLevel="0" collapsed="false">
      <c r="A155" s="4" t="n">
        <v>92</v>
      </c>
      <c r="B155" s="13" t="n">
        <f aca="false">B$5*(1+A_pore*B$6*($A155/100))/(1-B$6*(1+((1-phimax_pore)/phimax_pore^2)*($A155/100))*($A155/100))</f>
        <v>1.06508525127213</v>
      </c>
      <c r="C155" s="13" t="n">
        <f aca="false">B$7*(1+A_pore*B$8*($A155/100))/(1-B$8*(1+((1-phimax_pore)/phimax_pore^2)*($A155/100))*($A155/100))</f>
        <v>0.0280066923409737</v>
      </c>
      <c r="D155" s="13" t="n">
        <f aca="false">D$5*(1+A_pore*D$6*($A155/100))/(1-D$6*(1+((1-phimax_pore)/phimax_pore^2)*($A155/100))*($A155/100))</f>
        <v>1.06647669596017</v>
      </c>
      <c r="E155" s="13" t="n">
        <f aca="false">D$7*(1+A_pore*D$8*($A155/100))/(1-D$8*(1+((1-phimax_pore)/phimax_pore^2)*($A155/100))*($A155/100))</f>
        <v>0.0284335576641879</v>
      </c>
      <c r="F155" s="13" t="n">
        <f aca="false">F$5*(1+A_pore*F$6*($A155/100))/(1-F$6*(1+((1-phimax_pore)/phimax_pore^2)*($A155/100))*($A155/100))</f>
        <v>1.06967435784349</v>
      </c>
      <c r="G155" s="13" t="n">
        <f aca="false">F$7*(1+A_pore*F$8*($A155/100))/(1-F$8*(1+((1-phimax_pore)/phimax_pore^2)*($A155/100))*($A155/100))</f>
        <v>0.0295202213566977</v>
      </c>
      <c r="H155" s="13" t="n">
        <f aca="false">H$5*(1+A_pore*H$6*($A155/100))/(1-H$6*(1+((1-phimax_pore)/phimax_pore^2)*($A155/100))*($A155/100))</f>
        <v>1.07360831598139</v>
      </c>
      <c r="I155" s="13" t="n">
        <f aca="false">H$7*(1+A_pore*H$8*($A155/100))/(1-H$8*(1+((1-phimax_pore)/phimax_pore^2)*($A155/100))*($A155/100))</f>
        <v>0.0318835880124385</v>
      </c>
      <c r="J155" s="13" t="n">
        <f aca="false">J$5*(1+A_pore*J$6*($A155/100))/(1-J$6*(1+((1-phimax_pore)/phimax_pore^2)*($A155/100))*($A155/100))</f>
        <v>1.07863259538532</v>
      </c>
      <c r="K155" s="13" t="n">
        <f aca="false">J$7*(1+A_pore*J$8*($A155/100))/(1-J$8*(1+((1-phimax_pore)/phimax_pore^2)*($A155/100))*($A155/100))</f>
        <v>0.0519710455020473</v>
      </c>
    </row>
    <row r="156" customFormat="false" ht="15" hidden="false" customHeight="false" outlineLevel="0" collapsed="false">
      <c r="A156" s="4" t="n">
        <v>92.5</v>
      </c>
      <c r="B156" s="13" t="n">
        <f aca="false">B$5*(1+A_pore*B$6*($A156/100))/(1-B$6*(1+((1-phimax_pore)/phimax_pore^2)*($A156/100))*($A156/100))</f>
        <v>1.0603639855876</v>
      </c>
      <c r="C156" s="13" t="n">
        <f aca="false">B$7*(1+A_pore*B$8*($A156/100))/(1-B$8*(1+((1-phimax_pore)/phimax_pore^2)*($A156/100))*($A156/100))</f>
        <v>0.0278614151526467</v>
      </c>
      <c r="D156" s="13" t="n">
        <f aca="false">D$5*(1+A_pore*D$6*($A156/100))/(1-D$6*(1+((1-phimax_pore)/phimax_pore^2)*($A156/100))*($A156/100))</f>
        <v>1.0616550816995</v>
      </c>
      <c r="E156" s="13" t="n">
        <f aca="false">D$7*(1+A_pore*D$8*($A156/100))/(1-D$8*(1+((1-phimax_pore)/phimax_pore^2)*($A156/100))*($A156/100))</f>
        <v>0.0282582494508922</v>
      </c>
      <c r="F156" s="13" t="n">
        <f aca="false">F$5*(1+A_pore*F$6*($A156/100))/(1-F$6*(1+((1-phimax_pore)/phimax_pore^2)*($A156/100))*($A156/100))</f>
        <v>1.06462279538209</v>
      </c>
      <c r="G156" s="13" t="n">
        <f aca="false">F$7*(1+A_pore*F$8*($A156/100))/(1-F$8*(1+((1-phimax_pore)/phimax_pore^2)*($A156/100))*($A156/100))</f>
        <v>0.0292702135604931</v>
      </c>
      <c r="H156" s="13" t="n">
        <f aca="false">H$5*(1+A_pore*H$6*($A156/100))/(1-H$6*(1+((1-phimax_pore)/phimax_pore^2)*($A156/100))*($A156/100))</f>
        <v>1.0682751625699</v>
      </c>
      <c r="I156" s="13" t="n">
        <f aca="false">H$7*(1+A_pore*H$8*($A156/100))/(1-H$8*(1+((1-phimax_pore)/phimax_pore^2)*($A156/100))*($A156/100))</f>
        <v>0.0314736833777683</v>
      </c>
      <c r="J156" s="13" t="n">
        <f aca="false">J$5*(1+A_pore*J$6*($A156/100))/(1-J$6*(1+((1-phimax_pore)/phimax_pore^2)*($A156/100))*($A156/100))</f>
        <v>1.07294192259205</v>
      </c>
      <c r="K156" s="13" t="n">
        <f aca="false">J$7*(1+A_pore*J$8*($A156/100))/(1-J$8*(1+((1-phimax_pore)/phimax_pore^2)*($A156/100))*($A156/100))</f>
        <v>0.05021024803488</v>
      </c>
    </row>
    <row r="157" customFormat="false" ht="15" hidden="false" customHeight="false" outlineLevel="0" collapsed="false">
      <c r="A157" s="4" t="n">
        <v>93</v>
      </c>
      <c r="B157" s="13" t="n">
        <f aca="false">B$5*(1+A_pore*B$6*($A157/100))/(1-B$6*(1+((1-phimax_pore)/phimax_pore^2)*($A157/100))*($A157/100))</f>
        <v>1.05567550324441</v>
      </c>
      <c r="C157" s="13" t="n">
        <f aca="false">B$7*(1+A_pore*B$8*($A157/100))/(1-B$8*(1+((1-phimax_pore)/phimax_pore^2)*($A157/100))*($A157/100))</f>
        <v>0.0277172506222932</v>
      </c>
      <c r="D157" s="13" t="n">
        <f aca="false">D$5*(1+A_pore*D$6*($A157/100))/(1-D$6*(1+((1-phimax_pore)/phimax_pore^2)*($A157/100))*($A157/100))</f>
        <v>1.0568674006236</v>
      </c>
      <c r="E157" s="13" t="n">
        <f aca="false">D$7*(1+A_pore*D$8*($A157/100))/(1-D$8*(1+((1-phimax_pore)/phimax_pore^2)*($A157/100))*($A157/100))</f>
        <v>0.0280843984629378</v>
      </c>
      <c r="F157" s="13" t="n">
        <f aca="false">F$5*(1+A_pore*F$6*($A157/100))/(1-F$6*(1+((1-phimax_pore)/phimax_pore^2)*($A157/100))*($A157/100))</f>
        <v>1.05960781562118</v>
      </c>
      <c r="G157" s="13" t="n">
        <f aca="false">F$7*(1+A_pore*F$8*($A157/100))/(1-F$8*(1+((1-phimax_pore)/phimax_pore^2)*($A157/100))*($A157/100))</f>
        <v>0.0290224768047555</v>
      </c>
      <c r="H157" s="13" t="n">
        <f aca="false">H$5*(1+A_pore*H$6*($A157/100))/(1-H$6*(1+((1-phimax_pore)/phimax_pore^2)*($A157/100))*($A157/100))</f>
        <v>1.06298185295865</v>
      </c>
      <c r="I157" s="13" t="n">
        <f aca="false">H$7*(1+A_pore*H$8*($A157/100))/(1-H$8*(1+((1-phimax_pore)/phimax_pore^2)*($A157/100))*($A157/100))</f>
        <v>0.0310676963722751</v>
      </c>
      <c r="J157" s="13" t="n">
        <f aca="false">J$5*(1+A_pore*J$6*($A157/100))/(1-J$6*(1+((1-phimax_pore)/phimax_pore^2)*($A157/100))*($A157/100))</f>
        <v>1.06729523887616</v>
      </c>
      <c r="K157" s="13" t="n">
        <f aca="false">J$7*(1+A_pore*J$8*($A157/100))/(1-J$8*(1+((1-phimax_pore)/phimax_pore^2)*($A157/100))*($A157/100))</f>
        <v>0.0484669078994456</v>
      </c>
    </row>
    <row r="158" customFormat="false" ht="15" hidden="false" customHeight="false" outlineLevel="0" collapsed="false">
      <c r="A158" s="4" t="n">
        <v>93.5</v>
      </c>
      <c r="B158" s="13" t="n">
        <f aca="false">B$5*(1+A_pore*B$6*($A158/100))/(1-B$6*(1+((1-phimax_pore)/phimax_pore^2)*($A158/100))*($A158/100))</f>
        <v>1.05101946501935</v>
      </c>
      <c r="C158" s="13" t="n">
        <f aca="false">B$7*(1+A_pore*B$8*($A158/100))/(1-B$8*(1+((1-phimax_pore)/phimax_pore^2)*($A158/100))*($A158/100))</f>
        <v>0.0275741860593281</v>
      </c>
      <c r="D158" s="13" t="n">
        <f aca="false">D$5*(1+A_pore*D$6*($A158/100))/(1-D$6*(1+((1-phimax_pore)/phimax_pore^2)*($A158/100))*($A158/100))</f>
        <v>1.05211329688647</v>
      </c>
      <c r="E158" s="13" t="n">
        <f aca="false">D$7*(1+A_pore*D$8*($A158/100))/(1-D$8*(1+((1-phimax_pore)/phimax_pore^2)*($A158/100))*($A158/100))</f>
        <v>0.0279119866764621</v>
      </c>
      <c r="F158" s="13" t="n">
        <f aca="false">F$5*(1+A_pore*F$6*($A158/100))/(1-F$6*(1+((1-phimax_pore)/phimax_pore^2)*($A158/100))*($A158/100))</f>
        <v>1.05462902387051</v>
      </c>
      <c r="G158" s="13" t="n">
        <f aca="false">F$7*(1+A_pore*F$8*($A158/100))/(1-F$8*(1+((1-phimax_pore)/phimax_pore^2)*($A158/100))*($A158/100))</f>
        <v>0.0287769804407473</v>
      </c>
      <c r="H158" s="13" t="n">
        <f aca="false">H$5*(1+A_pore*H$6*($A158/100))/(1-H$6*(1+((1-phimax_pore)/phimax_pore^2)*($A158/100))*($A158/100))</f>
        <v>1.05772794376771</v>
      </c>
      <c r="I158" s="13" t="n">
        <f aca="false">H$7*(1+A_pore*H$8*($A158/100))/(1-H$8*(1+((1-phimax_pore)/phimax_pore^2)*($A158/100))*($A158/100))</f>
        <v>0.0306655714642886</v>
      </c>
      <c r="J158" s="13" t="n">
        <f aca="false">J$5*(1+A_pore*J$6*($A158/100))/(1-J$6*(1+((1-phimax_pore)/phimax_pore^2)*($A158/100))*($A158/100))</f>
        <v>1.06169203789045</v>
      </c>
      <c r="K158" s="13" t="n">
        <f aca="false">J$7*(1+A_pore*J$8*($A158/100))/(1-J$8*(1+((1-phimax_pore)/phimax_pore^2)*($A158/100))*($A158/100))</f>
        <v>0.0467407689635483</v>
      </c>
    </row>
    <row r="159" customFormat="false" ht="15" hidden="false" customHeight="false" outlineLevel="0" collapsed="false">
      <c r="A159" s="4" t="n">
        <v>94</v>
      </c>
      <c r="B159" s="13" t="n">
        <f aca="false">B$5*(1+A_pore*B$6*($A159/100))/(1-B$6*(1+((1-phimax_pore)/phimax_pore^2)*($A159/100))*($A159/100))</f>
        <v>1.04639553635303</v>
      </c>
      <c r="C159" s="13" t="n">
        <f aca="false">B$7*(1+A_pore*B$8*($A159/100))/(1-B$8*(1+((1-phimax_pore)/phimax_pore^2)*($A159/100))*($A159/100))</f>
        <v>0.0274322089654195</v>
      </c>
      <c r="D159" s="13" t="n">
        <f aca="false">D$5*(1+A_pore*D$6*($A159/100))/(1-D$6*(1+((1-phimax_pore)/phimax_pore^2)*($A159/100))*($A159/100))</f>
        <v>1.0473924196001</v>
      </c>
      <c r="E159" s="13" t="n">
        <f aca="false">D$7*(1+A_pore*D$8*($A159/100))/(1-D$8*(1+((1-phimax_pore)/phimax_pore^2)*($A159/100))*($A159/100))</f>
        <v>0.0277409963636078</v>
      </c>
      <c r="F159" s="13" t="n">
        <f aca="false">F$5*(1+A_pore*F$6*($A159/100))/(1-F$6*(1+((1-phimax_pore)/phimax_pore^2)*($A159/100))*($A159/100))</f>
        <v>1.04968603109697</v>
      </c>
      <c r="G159" s="13" t="n">
        <f aca="false">F$7*(1+A_pore*F$8*($A159/100))/(1-F$8*(1+((1-phimax_pore)/phimax_pore^2)*($A159/100))*($A159/100))</f>
        <v>0.0285336943687216</v>
      </c>
      <c r="H159" s="13" t="n">
        <f aca="false">H$5*(1+A_pore*H$6*($A159/100))/(1-H$6*(1+((1-phimax_pore)/phimax_pore^2)*($A159/100))*($A159/100))</f>
        <v>1.0525129981711</v>
      </c>
      <c r="I159" s="13" t="n">
        <f aca="false">H$7*(1+A_pore*H$8*($A159/100))/(1-H$8*(1+((1-phimax_pore)/phimax_pore^2)*($A159/100))*($A159/100))</f>
        <v>0.0302672541666652</v>
      </c>
      <c r="J159" s="13" t="n">
        <f aca="false">J$5*(1+A_pore*J$6*($A159/100))/(1-J$6*(1+((1-phimax_pore)/phimax_pore^2)*($A159/100))*($A159/100))</f>
        <v>1.05613182102892</v>
      </c>
      <c r="K159" s="13" t="n">
        <f aca="false">J$7*(1+A_pore*J$8*($A159/100))/(1-J$8*(1+((1-phimax_pore)/phimax_pore^2)*($A159/100))*($A159/100))</f>
        <v>0.045031580080762</v>
      </c>
    </row>
    <row r="160" customFormat="false" ht="15" hidden="false" customHeight="false" outlineLevel="0" collapsed="false">
      <c r="A160" s="4" t="n">
        <v>94.5</v>
      </c>
      <c r="B160" s="13" t="n">
        <f aca="false">B$5*(1+A_pore*B$6*($A160/100))/(1-B$6*(1+((1-phimax_pore)/phimax_pore^2)*($A160/100))*($A160/100))</f>
        <v>1.04180338726998</v>
      </c>
      <c r="C160" s="13" t="n">
        <f aca="false">B$7*(1+A_pore*B$8*($A160/100))/(1-B$8*(1+((1-phimax_pore)/phimax_pore^2)*($A160/100))*($A160/100))</f>
        <v>0.0272913070308612</v>
      </c>
      <c r="D160" s="13" t="n">
        <f aca="false">D$5*(1+A_pore*D$6*($A160/100))/(1-D$6*(1+((1-phimax_pore)/phimax_pore^2)*($A160/100))*($A160/100))</f>
        <v>1.04270442274839</v>
      </c>
      <c r="E160" s="13" t="n">
        <f aca="false">D$7*(1+A_pore*D$8*($A160/100))/(1-D$8*(1+((1-phimax_pore)/phimax_pore^2)*($A160/100))*($A160/100))</f>
        <v>0.027571410086472</v>
      </c>
      <c r="F160" s="13" t="n">
        <f aca="false">F$5*(1+A_pore*F$6*($A160/100))/(1-F$6*(1+((1-phimax_pore)/phimax_pore^2)*($A160/100))*($A160/100))</f>
        <v>1.04477845382362</v>
      </c>
      <c r="G160" s="13" t="n">
        <f aca="false">F$7*(1+A_pore*F$8*($A160/100))/(1-F$8*(1+((1-phimax_pore)/phimax_pore^2)*($A160/100))*($A160/100))</f>
        <v>0.028292589025685</v>
      </c>
      <c r="H160" s="13" t="n">
        <f aca="false">H$5*(1+A_pore*H$6*($A160/100))/(1-H$6*(1+((1-phimax_pore)/phimax_pore^2)*($A160/100))*($A160/100))</f>
        <v>1.04733658577613</v>
      </c>
      <c r="I160" s="13" t="n">
        <f aca="false">H$7*(1+A_pore*H$8*($A160/100))/(1-H$8*(1+((1-phimax_pore)/phimax_pore^2)*($A160/100))*($A160/100))</f>
        <v>0.0298726910123437</v>
      </c>
      <c r="J160" s="13" t="n">
        <f aca="false">J$5*(1+A_pore*J$6*($A160/100))/(1-J$6*(1+((1-phimax_pore)/phimax_pore^2)*($A160/100))*($A160/100))</f>
        <v>1.05061409727939</v>
      </c>
      <c r="K160" s="13" t="n">
        <f aca="false">J$7*(1+A_pore*J$8*($A160/100))/(1-J$8*(1+((1-phimax_pore)/phimax_pore^2)*($A160/100))*($A160/100))</f>
        <v>0.0433390949697047</v>
      </c>
    </row>
    <row r="161" customFormat="false" ht="15" hidden="false" customHeight="false" outlineLevel="0" collapsed="false">
      <c r="A161" s="4" t="n">
        <v>95</v>
      </c>
      <c r="B161" s="13" t="n">
        <f aca="false">B$5*(1+A_pore*B$6*($A161/100))/(1-B$6*(1+((1-phimax_pore)/phimax_pore^2)*($A161/100))*($A161/100))</f>
        <v>1.03724269230044</v>
      </c>
      <c r="C161" s="13" t="n">
        <f aca="false">B$7*(1+A_pore*B$8*($A161/100))/(1-B$8*(1+((1-phimax_pore)/phimax_pore^2)*($A161/100))*($A161/100))</f>
        <v>0.027151468131028</v>
      </c>
      <c r="D161" s="13" t="n">
        <f aca="false">D$5*(1+A_pore*D$6*($A161/100))/(1-D$6*(1+((1-phimax_pore)/phimax_pore^2)*($A161/100))*($A161/100))</f>
        <v>1.0380489651029</v>
      </c>
      <c r="E161" s="13" t="n">
        <f aca="false">D$7*(1+A_pore*D$8*($A161/100))/(1-D$8*(1+((1-phimax_pore)/phimax_pore^2)*($A161/100))*($A161/100))</f>
        <v>0.0274032106912016</v>
      </c>
      <c r="F161" s="13" t="n">
        <f aca="false">F$5*(1+A_pore*F$6*($A161/100))/(1-F$6*(1+((1-phimax_pore)/phimax_pore^2)*($A161/100))*($A161/100))</f>
        <v>1.0399059140308</v>
      </c>
      <c r="G161" s="13" t="n">
        <f aca="false">F$7*(1+A_pore*F$8*($A161/100))/(1-F$8*(1+((1-phimax_pore)/phimax_pore^2)*($A161/100))*($A161/100))</f>
        <v>0.0280536353734862</v>
      </c>
      <c r="H161" s="13" t="n">
        <f aca="false">H$5*(1+A_pore*H$6*($A161/100))/(1-H$6*(1+((1-phimax_pore)/phimax_pore^2)*($A161/100))*($A161/100))</f>
        <v>1.04219828250539</v>
      </c>
      <c r="I161" s="13" t="n">
        <f aca="false">H$7*(1+A_pore*H$8*($A161/100))/(1-H$8*(1+((1-phimax_pore)/phimax_pore^2)*($A161/100))*($A161/100))</f>
        <v>0.029481829530585</v>
      </c>
      <c r="J161" s="13" t="n">
        <f aca="false">J$5*(1+A_pore*J$6*($A161/100))/(1-J$6*(1+((1-phimax_pore)/phimax_pore^2)*($A161/100))*($A161/100))</f>
        <v>1.04513838307946</v>
      </c>
      <c r="K161" s="13" t="n">
        <f aca="false">J$7*(1+A_pore*J$8*($A161/100))/(1-J$8*(1+((1-phimax_pore)/phimax_pore^2)*($A161/100))*($A161/100))</f>
        <v>0.0416630720968027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166</v>
      </c>
    </row>
    <row r="3" customFormat="false" ht="15" hidden="false" customHeight="false" outlineLevel="0" collapsed="false">
      <c r="A3" s="5" t="s">
        <v>167</v>
      </c>
      <c r="B3" s="5" t="s">
        <v>168</v>
      </c>
      <c r="C3" s="5" t="s">
        <v>169</v>
      </c>
      <c r="D3" s="5" t="s">
        <v>170</v>
      </c>
      <c r="E3" s="5" t="s">
        <v>171</v>
      </c>
      <c r="F3" s="5" t="s">
        <v>172</v>
      </c>
      <c r="G3" s="5" t="s">
        <v>173</v>
      </c>
      <c r="H3" s="5" t="s">
        <v>174</v>
      </c>
      <c r="I3" s="5" t="s">
        <v>175</v>
      </c>
      <c r="J3" s="5" t="s">
        <v>176</v>
      </c>
      <c r="K3" s="5" t="s">
        <v>177</v>
      </c>
    </row>
    <row r="4" customFormat="false" ht="15" hidden="false" customHeight="false" outlineLevel="0" collapsed="false">
      <c r="A4" s="4" t="n">
        <v>1.1</v>
      </c>
      <c r="B4" s="13" t="n">
        <f aca="false">IFERROR(INDEX(Fig4c_Loci!$C$11:$C$161,IFERROR(MATCH($A4,Fig4c_Loci!$B$11:$B$161,-1)+1,1)),NA())</f>
        <v>0.0290558952198199</v>
      </c>
      <c r="C4" s="8" t="n">
        <f aca="false">IFERROR(INDEX(Fig4c_Loci!$A$11:$A$161,IFERROR(MATCH($A4,Fig4c_Loci!$B$11:$B$161,-1)+1,1)),NA())</f>
        <v>88.5</v>
      </c>
      <c r="D4" s="13" t="n">
        <f aca="false">IFERROR(INDEX(Fig4c_Loci!$E$11:$E$161,IFERROR(MATCH($A4,Fig4c_Loci!$D$11:$D$161,-1)+1,1)),NA())</f>
        <v>0.0295170569060588</v>
      </c>
      <c r="E4" s="8" t="n">
        <f aca="false">IFERROR(INDEX(Fig4c_Loci!$A$11:$A$161,IFERROR(MATCH($A4,Fig4c_Loci!$D$11:$D$161,-1)+1,1)),NA())</f>
        <v>89</v>
      </c>
      <c r="F4" s="13" t="n">
        <f aca="false">IFERROR(INDEX(Fig4c_Loci!$G$11:$G$161,IFERROR(MATCH($A4,Fig4c_Loci!$F$11:$F$161,-1)+1,1)),NA())</f>
        <v>0.0308054386937579</v>
      </c>
      <c r="G4" s="8" t="n">
        <f aca="false">IFERROR(INDEX(Fig4c_Loci!$A$11:$A$161,IFERROR(MATCH($A4,Fig4c_Loci!$F$11:$F$161,-1)+1,1)),NA())</f>
        <v>89.5</v>
      </c>
      <c r="H4" s="13" t="n">
        <f aca="false">IFERROR(INDEX(Fig4c_Loci!$I$11:$I$161,IFERROR(MATCH($A4,Fig4c_Loci!$H$11:$H$161,-1)+1,1)),NA())</f>
        <v>0.0335635314637824</v>
      </c>
      <c r="I4" s="8" t="n">
        <f aca="false">IFERROR(INDEX(Fig4c_Loci!$A$11:$A$161,IFERROR(MATCH($A4,Fig4c_Loci!$H$11:$H$161,-1)+1,1)),NA())</f>
        <v>90</v>
      </c>
      <c r="J4" s="13" t="n">
        <f aca="false">IFERROR(INDEX(Fig4c_Loci!$K$11:$K$161,IFERROR(MATCH($A4,Fig4c_Loci!$J$11:$J$161,-1)+1,1)),NA())</f>
        <v>0.0573608206398896</v>
      </c>
      <c r="K4" s="8" t="n">
        <f aca="false">IFERROR(INDEX(Fig4c_Loci!$A$11:$A$161,IFERROR(MATCH($A4,Fig4c_Loci!$J$11:$J$161,-1)+1,1)),NA())</f>
        <v>90.5</v>
      </c>
    </row>
    <row r="5" customFormat="false" ht="15" hidden="false" customHeight="false" outlineLevel="0" collapsed="false">
      <c r="A5" s="4" t="n">
        <v>1.12</v>
      </c>
      <c r="B5" s="13" t="n">
        <f aca="false">IFERROR(INDEX(Fig4c_Loci!$C$11:$C$161,IFERROR(MATCH($A5,Fig4c_Loci!$B$11:$B$161,-1)+1,1)),NA())</f>
        <v>0.0296820103824095</v>
      </c>
      <c r="C5" s="8" t="n">
        <f aca="false">IFERROR(INDEX(Fig4c_Loci!$A$11:$A$161,IFERROR(MATCH($A5,Fig4c_Loci!$B$11:$B$161,-1)+1,1)),NA())</f>
        <v>86.5</v>
      </c>
      <c r="D5" s="13" t="n">
        <f aca="false">IFERROR(INDEX(Fig4c_Loci!$E$11:$E$161,IFERROR(MATCH($A5,Fig4c_Loci!$D$11:$D$161,-1)+1,1)),NA())</f>
        <v>0.0302709769922297</v>
      </c>
      <c r="E5" s="8" t="n">
        <f aca="false">IFERROR(INDEX(Fig4c_Loci!$A$11:$A$161,IFERROR(MATCH($A5,Fig4c_Loci!$D$11:$D$161,-1)+1,1)),NA())</f>
        <v>87</v>
      </c>
      <c r="F5" s="13" t="n">
        <f aca="false">IFERROR(INDEX(Fig4c_Loci!$G$11:$G$161,IFERROR(MATCH($A5,Fig4c_Loci!$F$11:$F$161,-1)+1,1)),NA())</f>
        <v>0.0318778339336181</v>
      </c>
      <c r="G5" s="8" t="n">
        <f aca="false">IFERROR(INDEX(Fig4c_Loci!$A$11:$A$161,IFERROR(MATCH($A5,Fig4c_Loci!$F$11:$F$161,-1)+1,1)),NA())</f>
        <v>87.5</v>
      </c>
      <c r="H5" s="13" t="n">
        <f aca="false">IFERROR(INDEX(Fig4c_Loci!$I$11:$I$161,IFERROR(MATCH($A5,Fig4c_Loci!$H$11:$H$161,-1)+1,1)),NA())</f>
        <v>0.0353108888482007</v>
      </c>
      <c r="I5" s="8" t="n">
        <f aca="false">IFERROR(INDEX(Fig4c_Loci!$A$11:$A$161,IFERROR(MATCH($A5,Fig4c_Loci!$H$11:$H$161,-1)+1,1)),NA())</f>
        <v>88</v>
      </c>
      <c r="J5" s="13" t="n">
        <f aca="false">IFERROR(INDEX(Fig4c_Loci!$K$11:$K$161,IFERROR(MATCH($A5,Fig4c_Loci!$J$11:$J$161,-1)+1,1)),NA())</f>
        <v>0.0648080543937549</v>
      </c>
      <c r="K5" s="8" t="n">
        <f aca="false">IFERROR(INDEX(Fig4c_Loci!$A$11:$A$161,IFERROR(MATCH($A5,Fig4c_Loci!$J$11:$J$161,-1)+1,1)),NA())</f>
        <v>88.5</v>
      </c>
    </row>
    <row r="6" customFormat="false" ht="15" hidden="false" customHeight="false" outlineLevel="0" collapsed="false">
      <c r="A6" s="4" t="n">
        <v>1.14</v>
      </c>
      <c r="B6" s="13" t="n">
        <f aca="false">IFERROR(INDEX(Fig4c_Loci!$C$11:$C$161,IFERROR(MATCH($A6,Fig4c_Loci!$B$11:$B$161,-1)+1,1)),NA())</f>
        <v>0.0301649998287682</v>
      </c>
      <c r="C6" s="8" t="n">
        <f aca="false">IFERROR(INDEX(Fig4c_Loci!$A$11:$A$161,IFERROR(MATCH($A6,Fig4c_Loci!$B$11:$B$161,-1)+1,1)),NA())</f>
        <v>85</v>
      </c>
      <c r="D6" s="13" t="n">
        <f aca="false">IFERROR(INDEX(Fig4c_Loci!$E$11:$E$161,IFERROR(MATCH($A6,Fig4c_Loci!$D$11:$D$161,-1)+1,1)),NA())</f>
        <v>0.031051735387523</v>
      </c>
      <c r="E6" s="8" t="n">
        <f aca="false">IFERROR(INDEX(Fig4c_Loci!$A$11:$A$161,IFERROR(MATCH($A6,Fig4c_Loci!$D$11:$D$161,-1)+1,1)),NA())</f>
        <v>85</v>
      </c>
      <c r="F6" s="13" t="n">
        <f aca="false">IFERROR(INDEX(Fig4c_Loci!$G$11:$G$161,IFERROR(MATCH($A6,Fig4c_Loci!$F$11:$F$161,-1)+1,1)),NA())</f>
        <v>0.0329920140602792</v>
      </c>
      <c r="G6" s="8" t="n">
        <f aca="false">IFERROR(INDEX(Fig4c_Loci!$A$11:$A$161,IFERROR(MATCH($A6,Fig4c_Loci!$F$11:$F$161,-1)+1,1)),NA())</f>
        <v>85.5</v>
      </c>
      <c r="H6" s="13" t="n">
        <f aca="false">IFERROR(INDEX(Fig4c_Loci!$I$11:$I$161,IFERROR(MATCH($A6,Fig4c_Loci!$H$11:$H$161,-1)+1,1)),NA())</f>
        <v>0.0366681094953344</v>
      </c>
      <c r="I6" s="8" t="n">
        <f aca="false">IFERROR(INDEX(Fig4c_Loci!$A$11:$A$161,IFERROR(MATCH($A6,Fig4c_Loci!$H$11:$H$161,-1)+1,1)),NA())</f>
        <v>86.5</v>
      </c>
      <c r="J6" s="13" t="n">
        <f aca="false">IFERROR(INDEX(Fig4c_Loci!$K$11:$K$161,IFERROR(MATCH($A6,Fig4c_Loci!$J$11:$J$161,-1)+1,1)),NA())</f>
        <v>0.0705993479541768</v>
      </c>
      <c r="K6" s="8" t="n">
        <f aca="false">IFERROR(INDEX(Fig4c_Loci!$A$11:$A$161,IFERROR(MATCH($A6,Fig4c_Loci!$J$11:$J$161,-1)+1,1)),NA())</f>
        <v>87</v>
      </c>
    </row>
    <row r="7" customFormat="false" ht="15" hidden="false" customHeight="false" outlineLevel="0" collapsed="false">
      <c r="A7" s="4" t="n">
        <v>1.16</v>
      </c>
      <c r="B7" s="13" t="n">
        <f aca="false">IFERROR(INDEX(Fig4c_Loci!$C$11:$C$161,IFERROR(MATCH($A7,Fig4c_Loci!$B$11:$B$161,-1)+1,1)),NA())</f>
        <v>0.0308276687301654</v>
      </c>
      <c r="C7" s="8" t="n">
        <f aca="false">IFERROR(INDEX(Fig4c_Loci!$A$11:$A$161,IFERROR(MATCH($A7,Fig4c_Loci!$B$11:$B$161,-1)+1,1)),NA())</f>
        <v>83</v>
      </c>
      <c r="D7" s="13" t="n">
        <f aca="false">IFERROR(INDEX(Fig4c_Loci!$E$11:$E$161,IFERROR(MATCH($A7,Fig4c_Loci!$D$11:$D$161,-1)+1,1)),NA())</f>
        <v>0.0318607857465668</v>
      </c>
      <c r="E7" s="8" t="n">
        <f aca="false">IFERROR(INDEX(Fig4c_Loci!$A$11:$A$161,IFERROR(MATCH($A7,Fig4c_Loci!$D$11:$D$161,-1)+1,1)),NA())</f>
        <v>83</v>
      </c>
      <c r="F7" s="13" t="n">
        <f aca="false">IFERROR(INDEX(Fig4c_Loci!$G$11:$G$161,IFERROR(MATCH($A7,Fig4c_Loci!$F$11:$F$161,-1)+1,1)),NA())</f>
        <v>0.0338565541827436</v>
      </c>
      <c r="G7" s="8" t="n">
        <f aca="false">IFERROR(INDEX(Fig4c_Loci!$A$11:$A$161,IFERROR(MATCH($A7,Fig4c_Loci!$F$11:$F$161,-1)+1,1)),NA())</f>
        <v>84</v>
      </c>
      <c r="H7" s="13" t="n">
        <f aca="false">IFERROR(INDEX(Fig4c_Loci!$I$11:$I$161,IFERROR(MATCH($A7,Fig4c_Loci!$H$11:$H$161,-1)+1,1)),NA())</f>
        <v>0.0385435444087625</v>
      </c>
      <c r="I7" s="8" t="n">
        <f aca="false">IFERROR(INDEX(Fig4c_Loci!$A$11:$A$161,IFERROR(MATCH($A7,Fig4c_Loci!$H$11:$H$161,-1)+1,1)),NA())</f>
        <v>84.5</v>
      </c>
      <c r="J7" s="13" t="n">
        <f aca="false">IFERROR(INDEX(Fig4c_Loci!$K$11:$K$161,IFERROR(MATCH($A7,Fig4c_Loci!$J$11:$J$161,-1)+1,1)),NA())</f>
        <v>0.0765764624076323</v>
      </c>
      <c r="K7" s="8" t="n">
        <f aca="false">IFERROR(INDEX(Fig4c_Loci!$A$11:$A$161,IFERROR(MATCH($A7,Fig4c_Loci!$J$11:$J$161,-1)+1,1)),NA())</f>
        <v>85.5</v>
      </c>
    </row>
    <row r="8" customFormat="false" ht="15" hidden="false" customHeight="false" outlineLevel="0" collapsed="false">
      <c r="A8" s="4" t="n">
        <v>1.18</v>
      </c>
      <c r="B8" s="13" t="n">
        <f aca="false">IFERROR(INDEX(Fig4c_Loci!$C$11:$C$161,IFERROR(MATCH($A8,Fig4c_Loci!$B$11:$B$161,-1)+1,1)),NA())</f>
        <v>0.0315126763298099</v>
      </c>
      <c r="C8" s="8" t="n">
        <f aca="false">IFERROR(INDEX(Fig4c_Loci!$A$11:$A$161,IFERROR(MATCH($A8,Fig4c_Loci!$B$11:$B$161,-1)+1,1)),NA())</f>
        <v>81</v>
      </c>
      <c r="D8" s="13" t="n">
        <f aca="false">IFERROR(INDEX(Fig4c_Loci!$E$11:$E$161,IFERROR(MATCH($A8,Fig4c_Loci!$D$11:$D$161,-1)+1,1)),NA())</f>
        <v>0.0324870745962849</v>
      </c>
      <c r="E8" s="8" t="n">
        <f aca="false">IFERROR(INDEX(Fig4c_Loci!$A$11:$A$161,IFERROR(MATCH($A8,Fig4c_Loci!$D$11:$D$161,-1)+1,1)),NA())</f>
        <v>81.5</v>
      </c>
      <c r="F8" s="13" t="n">
        <f aca="false">IFERROR(INDEX(Fig4c_Loci!$G$11:$G$161,IFERROR(MATCH($A8,Fig4c_Loci!$F$11:$F$161,-1)+1,1)),NA())</f>
        <v>0.0350499415267599</v>
      </c>
      <c r="G8" s="8" t="n">
        <f aca="false">IFERROR(INDEX(Fig4c_Loci!$A$11:$A$161,IFERROR(MATCH($A8,Fig4c_Loci!$F$11:$F$161,-1)+1,1)),NA())</f>
        <v>82</v>
      </c>
      <c r="H8" s="13" t="n">
        <f aca="false">IFERROR(INDEX(Fig4c_Loci!$I$11:$I$161,IFERROR(MATCH($A8,Fig4c_Loci!$H$11:$H$161,-1)+1,1)),NA())</f>
        <v>0.0400020649805592</v>
      </c>
      <c r="I8" s="8" t="n">
        <f aca="false">IFERROR(INDEX(Fig4c_Loci!$A$11:$A$161,IFERROR(MATCH($A8,Fig4c_Loci!$H$11:$H$161,-1)+1,1)),NA())</f>
        <v>83</v>
      </c>
      <c r="J8" s="13" t="n">
        <f aca="false">IFERROR(INDEX(Fig4c_Loci!$K$11:$K$161,IFERROR(MATCH($A8,Fig4c_Loci!$J$11:$J$161,-1)+1,1)),NA())</f>
        <v>0.0827484144539104</v>
      </c>
      <c r="K8" s="8" t="n">
        <f aca="false">IFERROR(INDEX(Fig4c_Loci!$A$11:$A$161,IFERROR(MATCH($A8,Fig4c_Loci!$J$11:$J$161,-1)+1,1)),NA())</f>
        <v>84</v>
      </c>
    </row>
    <row r="9" customFormat="false" ht="15" hidden="false" customHeight="false" outlineLevel="0" collapsed="false">
      <c r="A9" s="4" t="n">
        <v>1.2</v>
      </c>
      <c r="B9" s="13" t="n">
        <f aca="false">IFERROR(INDEX(Fig4c_Loci!$C$11:$C$161,IFERROR(MATCH($A9,Fig4c_Loci!$B$11:$B$161,-1)+1,1)),NA())</f>
        <v>0.0320417779117261</v>
      </c>
      <c r="C9" s="8" t="n">
        <f aca="false">IFERROR(INDEX(Fig4c_Loci!$A$11:$A$161,IFERROR(MATCH($A9,Fig4c_Loci!$B$11:$B$161,-1)+1,1)),NA())</f>
        <v>79.5</v>
      </c>
      <c r="D9" s="13" t="n">
        <f aca="false">IFERROR(INDEX(Fig4c_Loci!$E$11:$E$161,IFERROR(MATCH($A9,Fig4c_Loci!$D$11:$D$161,-1)+1,1)),NA())</f>
        <v>0.0333494609149508</v>
      </c>
      <c r="E9" s="8" t="n">
        <f aca="false">IFERROR(INDEX(Fig4c_Loci!$A$11:$A$161,IFERROR(MATCH($A9,Fig4c_Loci!$D$11:$D$161,-1)+1,1)),NA())</f>
        <v>79.5</v>
      </c>
      <c r="F9" s="13" t="n">
        <f aca="false">IFERROR(INDEX(Fig4c_Loci!$G$11:$G$161,IFERROR(MATCH($A9,Fig4c_Loci!$F$11:$F$161,-1)+1,1)),NA())</f>
        <v>0.0359770361770981</v>
      </c>
      <c r="G9" s="8" t="n">
        <f aca="false">IFERROR(INDEX(Fig4c_Loci!$A$11:$A$161,IFERROR(MATCH($A9,Fig4c_Loci!$F$11:$F$161,-1)+1,1)),NA())</f>
        <v>80.5</v>
      </c>
      <c r="H9" s="13" t="n">
        <f aca="false">IFERROR(INDEX(Fig4c_Loci!$I$11:$I$161,IFERROR(MATCH($A9,Fig4c_Loci!$H$11:$H$161,-1)+1,1)),NA())</f>
        <v>0.041507482047855</v>
      </c>
      <c r="I9" s="8" t="n">
        <f aca="false">IFERROR(INDEX(Fig4c_Loci!$A$11:$A$161,IFERROR(MATCH($A9,Fig4c_Loci!$H$11:$H$161,-1)+1,1)),NA())</f>
        <v>81.5</v>
      </c>
      <c r="J9" s="13" t="n">
        <f aca="false">IFERROR(INDEX(Fig4c_Loci!$K$11:$K$161,IFERROR(MATCH($A9,Fig4c_Loci!$J$11:$J$161,-1)+1,1)),NA())</f>
        <v>0.0891248137020954</v>
      </c>
      <c r="K9" s="8" t="n">
        <f aca="false">IFERROR(INDEX(Fig4c_Loci!$A$11:$A$161,IFERROR(MATCH($A9,Fig4c_Loci!$J$11:$J$161,-1)+1,1)),NA())</f>
        <v>82.5</v>
      </c>
    </row>
    <row r="10" customFormat="false" ht="15" hidden="false" customHeight="false" outlineLevel="0" collapsed="false">
      <c r="A10" s="4" t="n">
        <v>1.22</v>
      </c>
      <c r="B10" s="13" t="n">
        <f aca="false">IFERROR(INDEX(Fig4c_Loci!$C$11:$C$161,IFERROR(MATCH($A10,Fig4c_Loci!$B$11:$B$161,-1)+1,1)),NA())</f>
        <v>0.0327686820725556</v>
      </c>
      <c r="C10" s="8" t="n">
        <f aca="false">IFERROR(INDEX(Fig4c_Loci!$A$11:$A$161,IFERROR(MATCH($A10,Fig4c_Loci!$B$11:$B$161,-1)+1,1)),NA())</f>
        <v>77.5</v>
      </c>
      <c r="D10" s="13" t="n">
        <f aca="false">IFERROR(INDEX(Fig4c_Loci!$E$11:$E$161,IFERROR(MATCH($A10,Fig4c_Loci!$D$11:$D$161,-1)+1,1)),NA())</f>
        <v>0.0340177206077457</v>
      </c>
      <c r="E10" s="8" t="n">
        <f aca="false">IFERROR(INDEX(Fig4c_Loci!$A$11:$A$161,IFERROR(MATCH($A10,Fig4c_Loci!$D$11:$D$161,-1)+1,1)),NA())</f>
        <v>78</v>
      </c>
      <c r="F10" s="13" t="n">
        <f aca="false">IFERROR(INDEX(Fig4c_Loci!$G$11:$G$161,IFERROR(MATCH($A10,Fig4c_Loci!$F$11:$F$161,-1)+1,1)),NA())</f>
        <v>0.0369330271605431</v>
      </c>
      <c r="G10" s="8" t="n">
        <f aca="false">IFERROR(INDEX(Fig4c_Loci!$A$11:$A$161,IFERROR(MATCH($A10,Fig4c_Loci!$F$11:$F$161,-1)+1,1)),NA())</f>
        <v>79</v>
      </c>
      <c r="H10" s="13" t="n">
        <f aca="false">IFERROR(INDEX(Fig4c_Loci!$I$11:$I$161,IFERROR(MATCH($A10,Fig4c_Loci!$H$11:$H$161,-1)+1,1)),NA())</f>
        <v>0.0430620814101045</v>
      </c>
      <c r="I10" s="8" t="n">
        <f aca="false">IFERROR(INDEX(Fig4c_Loci!$A$11:$A$161,IFERROR(MATCH($A10,Fig4c_Loci!$H$11:$H$161,-1)+1,1)),NA())</f>
        <v>80</v>
      </c>
      <c r="J10" s="13" t="n">
        <f aca="false">IFERROR(INDEX(Fig4c_Loci!$K$11:$K$161,IFERROR(MATCH($A10,Fig4c_Loci!$J$11:$J$161,-1)+1,1)),NA())</f>
        <v>0.0957159122198514</v>
      </c>
      <c r="K10" s="8" t="n">
        <f aca="false">IFERROR(INDEX(Fig4c_Loci!$A$11:$A$161,IFERROR(MATCH($A10,Fig4c_Loci!$J$11:$J$161,-1)+1,1)),NA())</f>
        <v>81</v>
      </c>
    </row>
    <row r="11" customFormat="false" ht="15" hidden="false" customHeight="false" outlineLevel="0" collapsed="false">
      <c r="A11" s="4" t="n">
        <v>1.24</v>
      </c>
      <c r="B11" s="13" t="n">
        <f aca="false">IFERROR(INDEX(Fig4c_Loci!$C$11:$C$161,IFERROR(MATCH($A11,Fig4c_Loci!$B$11:$B$161,-1)+1,1)),NA())</f>
        <v>0.0333306417442609</v>
      </c>
      <c r="C11" s="8" t="n">
        <f aca="false">IFERROR(INDEX(Fig4c_Loci!$A$11:$A$161,IFERROR(MATCH($A11,Fig4c_Loci!$B$11:$B$161,-1)+1,1)),NA())</f>
        <v>76</v>
      </c>
      <c r="D11" s="13" t="n">
        <f aca="false">IFERROR(INDEX(Fig4c_Loci!$E$11:$E$161,IFERROR(MATCH($A11,Fig4c_Loci!$D$11:$D$161,-1)+1,1)),NA())</f>
        <v>0.0347052655193337</v>
      </c>
      <c r="E11" s="8" t="n">
        <f aca="false">IFERROR(INDEX(Fig4c_Loci!$A$11:$A$161,IFERROR(MATCH($A11,Fig4c_Loci!$D$11:$D$161,-1)+1,1)),NA())</f>
        <v>76.5</v>
      </c>
      <c r="F11" s="13" t="n">
        <f aca="false">IFERROR(INDEX(Fig4c_Loci!$G$11:$G$161,IFERROR(MATCH($A11,Fig4c_Loci!$F$11:$F$161,-1)+1,1)),NA())</f>
        <v>0.037919281078711</v>
      </c>
      <c r="G11" s="8" t="n">
        <f aca="false">IFERROR(INDEX(Fig4c_Loci!$A$11:$A$161,IFERROR(MATCH($A11,Fig4c_Loci!$F$11:$F$161,-1)+1,1)),NA())</f>
        <v>77.5</v>
      </c>
      <c r="H11" s="13" t="n">
        <f aca="false">IFERROR(INDEX(Fig4c_Loci!$I$11:$I$161,IFERROR(MATCH($A11,Fig4c_Loci!$H$11:$H$161,-1)+1,1)),NA())</f>
        <v>0.0446682998626954</v>
      </c>
      <c r="I11" s="8" t="n">
        <f aca="false">IFERROR(INDEX(Fig4c_Loci!$A$11:$A$161,IFERROR(MATCH($A11,Fig4c_Loci!$H$11:$H$161,-1)+1,1)),NA())</f>
        <v>78.5</v>
      </c>
      <c r="J11" s="13" t="n">
        <f aca="false">IFERROR(INDEX(Fig4c_Loci!$K$11:$K$161,IFERROR(MATCH($A11,Fig4c_Loci!$J$11:$J$161,-1)+1,1)),NA())</f>
        <v>0.102532659136158</v>
      </c>
      <c r="K11" s="8" t="n">
        <f aca="false">IFERROR(INDEX(Fig4c_Loci!$A$11:$A$161,IFERROR(MATCH($A11,Fig4c_Loci!$J$11:$J$161,-1)+1,1)),NA())</f>
        <v>79.5</v>
      </c>
    </row>
    <row r="12" customFormat="false" ht="15" hidden="false" customHeight="false" outlineLevel="0" collapsed="false">
      <c r="A12" s="4" t="n">
        <v>1.26</v>
      </c>
      <c r="B12" s="13" t="n">
        <f aca="false">IFERROR(INDEX(Fig4c_Loci!$C$11:$C$161,IFERROR(MATCH($A12,Fig4c_Loci!$B$11:$B$161,-1)+1,1)),NA())</f>
        <v>0.0339076248076922</v>
      </c>
      <c r="C12" s="8" t="n">
        <f aca="false">IFERROR(INDEX(Fig4c_Loci!$A$11:$A$161,IFERROR(MATCH($A12,Fig4c_Loci!$B$11:$B$161,-1)+1,1)),NA())</f>
        <v>74.5</v>
      </c>
      <c r="D12" s="13" t="n">
        <f aca="false">IFERROR(INDEX(Fig4c_Loci!$E$11:$E$161,IFERROR(MATCH($A12,Fig4c_Loci!$D$11:$D$161,-1)+1,1)),NA())</f>
        <v>0.03565345786288</v>
      </c>
      <c r="E12" s="8" t="n">
        <f aca="false">IFERROR(INDEX(Fig4c_Loci!$A$11:$A$161,IFERROR(MATCH($A12,Fig4c_Loci!$D$11:$D$161,-1)+1,1)),NA())</f>
        <v>74.5</v>
      </c>
      <c r="F12" s="13" t="n">
        <f aca="false">IFERROR(INDEX(Fig4c_Loci!$G$11:$G$161,IFERROR(MATCH($A12,Fig4c_Loci!$F$11:$F$161,-1)+1,1)),NA())</f>
        <v>0.0392838888201607</v>
      </c>
      <c r="G12" s="8" t="n">
        <f aca="false">IFERROR(INDEX(Fig4c_Loci!$A$11:$A$161,IFERROR(MATCH($A12,Fig4c_Loci!$F$11:$F$161,-1)+1,1)),NA())</f>
        <v>75.5</v>
      </c>
      <c r="H12" s="13" t="n">
        <f aca="false">IFERROR(INDEX(Fig4c_Loci!$I$11:$I$161,IFERROR(MATCH($A12,Fig4c_Loci!$H$11:$H$161,-1)+1,1)),NA())</f>
        <v>0.0463287378744657</v>
      </c>
      <c r="I12" s="8" t="n">
        <f aca="false">IFERROR(INDEX(Fig4c_Loci!$A$11:$A$161,IFERROR(MATCH($A12,Fig4c_Loci!$H$11:$H$161,-1)+1,1)),NA())</f>
        <v>77</v>
      </c>
      <c r="J12" s="13" t="n">
        <f aca="false">IFERROR(INDEX(Fig4c_Loci!$K$11:$K$161,IFERROR(MATCH($A12,Fig4c_Loci!$J$11:$J$161,-1)+1,1)),NA())</f>
        <v>0.109586760909183</v>
      </c>
      <c r="K12" s="8" t="n">
        <f aca="false">IFERROR(INDEX(Fig4c_Loci!$A$11:$A$161,IFERROR(MATCH($A12,Fig4c_Loci!$J$11:$J$161,-1)+1,1)),NA())</f>
        <v>78</v>
      </c>
    </row>
    <row r="13" customFormat="false" ht="15" hidden="false" customHeight="false" outlineLevel="0" collapsed="false">
      <c r="A13" s="4" t="n">
        <v>1.28</v>
      </c>
      <c r="B13" s="13" t="n">
        <f aca="false">IFERROR(INDEX(Fig4c_Loci!$C$11:$C$161,IFERROR(MATCH($A13,Fig4c_Loci!$B$11:$B$161,-1)+1,1)),NA())</f>
        <v>0.0347013625756742</v>
      </c>
      <c r="C13" s="8" t="n">
        <f aca="false">IFERROR(INDEX(Fig4c_Loci!$A$11:$A$161,IFERROR(MATCH($A13,Fig4c_Loci!$B$11:$B$161,-1)+1,1)),NA())</f>
        <v>72.5</v>
      </c>
      <c r="D13" s="13" t="n">
        <f aca="false">IFERROR(INDEX(Fig4c_Loci!$E$11:$E$161,IFERROR(MATCH($A13,Fig4c_Loci!$D$11:$D$161,-1)+1,1)),NA())</f>
        <v>0.0363893723321247</v>
      </c>
      <c r="E13" s="8" t="n">
        <f aca="false">IFERROR(INDEX(Fig4c_Loci!$A$11:$A$161,IFERROR(MATCH($A13,Fig4c_Loci!$D$11:$D$161,-1)+1,1)),NA())</f>
        <v>73</v>
      </c>
      <c r="F13" s="13" t="n">
        <f aca="false">IFERROR(INDEX(Fig4c_Loci!$G$11:$G$161,IFERROR(MATCH($A13,Fig4c_Loci!$F$11:$F$161,-1)+1,1)),NA())</f>
        <v>0.0403465760442174</v>
      </c>
      <c r="G13" s="8" t="n">
        <f aca="false">IFERROR(INDEX(Fig4c_Loci!$A$11:$A$161,IFERROR(MATCH($A13,Fig4c_Loci!$F$11:$F$161,-1)+1,1)),NA())</f>
        <v>74</v>
      </c>
      <c r="H13" s="13" t="n">
        <f aca="false">IFERROR(INDEX(Fig4c_Loci!$I$11:$I$161,IFERROR(MATCH($A13,Fig4c_Loci!$H$11:$H$161,-1)+1,1)),NA())</f>
        <v>0.0480461735643117</v>
      </c>
      <c r="I13" s="8" t="n">
        <f aca="false">IFERROR(INDEX(Fig4c_Loci!$A$11:$A$161,IFERROR(MATCH($A13,Fig4c_Loci!$H$11:$H$161,-1)+1,1)),NA())</f>
        <v>75.5</v>
      </c>
      <c r="J13" s="13" t="n">
        <f aca="false">IFERROR(INDEX(Fig4c_Loci!$K$11:$K$161,IFERROR(MATCH($A13,Fig4c_Loci!$J$11:$J$161,-1)+1,1)),NA())</f>
        <v>0.114427511011862</v>
      </c>
      <c r="K13" s="8" t="n">
        <f aca="false">IFERROR(INDEX(Fig4c_Loci!$A$11:$A$161,IFERROR(MATCH($A13,Fig4c_Loci!$J$11:$J$161,-1)+1,1)),NA())</f>
        <v>77</v>
      </c>
    </row>
    <row r="14" customFormat="false" ht="15" hidden="false" customHeight="false" outlineLevel="0" collapsed="false">
      <c r="A14" s="4" t="n">
        <v>1.3</v>
      </c>
      <c r="B14" s="13" t="n">
        <f aca="false">IFERROR(INDEX(Fig4c_Loci!$C$11:$C$161,IFERROR(MATCH($A14,Fig4c_Loci!$B$11:$B$161,-1)+1,1)),NA())</f>
        <v>0.035315826415174</v>
      </c>
      <c r="C14" s="8" t="n">
        <f aca="false">IFERROR(INDEX(Fig4c_Loci!$A$11:$A$161,IFERROR(MATCH($A14,Fig4c_Loci!$B$11:$B$161,-1)+1,1)),NA())</f>
        <v>71</v>
      </c>
      <c r="D14" s="13" t="n">
        <f aca="false">IFERROR(INDEX(Fig4c_Loci!$E$11:$E$161,IFERROR(MATCH($A14,Fig4c_Loci!$D$11:$D$161,-1)+1,1)),NA())</f>
        <v>0.0371475877169996</v>
      </c>
      <c r="E14" s="8" t="n">
        <f aca="false">IFERROR(INDEX(Fig4c_Loci!$A$11:$A$161,IFERROR(MATCH($A14,Fig4c_Loci!$D$11:$D$161,-1)+1,1)),NA())</f>
        <v>71.5</v>
      </c>
      <c r="F14" s="13" t="n">
        <f aca="false">IFERROR(INDEX(Fig4c_Loci!$G$11:$G$161,IFERROR(MATCH($A14,Fig4c_Loci!$F$11:$F$161,-1)+1,1)),NA())</f>
        <v>0.0410746431874814</v>
      </c>
      <c r="G14" s="8" t="n">
        <f aca="false">IFERROR(INDEX(Fig4c_Loci!$A$11:$A$161,IFERROR(MATCH($A14,Fig4c_Loci!$F$11:$F$161,-1)+1,1)),NA())</f>
        <v>73</v>
      </c>
      <c r="H14" s="13" t="n">
        <f aca="false">IFERROR(INDEX(Fig4c_Loci!$I$11:$I$161,IFERROR(MATCH($A14,Fig4c_Loci!$H$11:$H$161,-1)+1,1)),NA())</f>
        <v>0.0498235781348893</v>
      </c>
      <c r="I14" s="8" t="n">
        <f aca="false">IFERROR(INDEX(Fig4c_Loci!$A$11:$A$161,IFERROR(MATCH($A14,Fig4c_Loci!$H$11:$H$161,-1)+1,1)),NA())</f>
        <v>74</v>
      </c>
      <c r="J14" s="13" t="n">
        <f aca="false">IFERROR(INDEX(Fig4c_Loci!$K$11:$K$161,IFERROR(MATCH($A14,Fig4c_Loci!$J$11:$J$161,-1)+1,1)),NA())</f>
        <v>0.12190548964687</v>
      </c>
      <c r="K14" s="8" t="n">
        <f aca="false">IFERROR(INDEX(Fig4c_Loci!$A$11:$A$161,IFERROR(MATCH($A14,Fig4c_Loci!$J$11:$J$161,-1)+1,1)),NA())</f>
        <v>75.5</v>
      </c>
    </row>
    <row r="15" customFormat="false" ht="15" hidden="false" customHeight="false" outlineLevel="0" collapsed="false">
      <c r="A15" s="4" t="n">
        <v>1.32</v>
      </c>
      <c r="B15" s="13" t="n">
        <f aca="false">IFERROR(INDEX(Fig4c_Loci!$C$11:$C$161,IFERROR(MATCH($A15,Fig4c_Loci!$B$11:$B$161,-1)+1,1)),NA())</f>
        <v>0.0359474773069527</v>
      </c>
      <c r="C15" s="8" t="n">
        <f aca="false">IFERROR(INDEX(Fig4c_Loci!$A$11:$A$161,IFERROR(MATCH($A15,Fig4c_Loci!$B$11:$B$161,-1)+1,1)),NA())</f>
        <v>69.5</v>
      </c>
      <c r="D15" s="13" t="n">
        <f aca="false">IFERROR(INDEX(Fig4c_Loci!$E$11:$E$161,IFERROR(MATCH($A15,Fig4c_Loci!$D$11:$D$161,-1)+1,1)),NA())</f>
        <v>0.0379291303669198</v>
      </c>
      <c r="E15" s="8" t="n">
        <f aca="false">IFERROR(INDEX(Fig4c_Loci!$A$11:$A$161,IFERROR(MATCH($A15,Fig4c_Loci!$D$11:$D$161,-1)+1,1)),NA())</f>
        <v>70</v>
      </c>
      <c r="F15" s="13" t="n">
        <f aca="false">IFERROR(INDEX(Fig4c_Loci!$G$11:$G$161,IFERROR(MATCH($A15,Fig4c_Loci!$F$11:$F$161,-1)+1,1)),NA())</f>
        <v>0.042197477095571</v>
      </c>
      <c r="G15" s="8" t="n">
        <f aca="false">IFERROR(INDEX(Fig4c_Loci!$A$11:$A$161,IFERROR(MATCH($A15,Fig4c_Loci!$F$11:$F$161,-1)+1,1)),NA())</f>
        <v>71.5</v>
      </c>
      <c r="H15" s="13" t="n">
        <f aca="false">IFERROR(INDEX(Fig4c_Loci!$I$11:$I$161,IFERROR(MATCH($A15,Fig4c_Loci!$H$11:$H$161,-1)+1,1)),NA())</f>
        <v>0.0516641329437682</v>
      </c>
      <c r="I15" s="8" t="n">
        <f aca="false">IFERROR(INDEX(Fig4c_Loci!$A$11:$A$161,IFERROR(MATCH($A15,Fig4c_Loci!$H$11:$H$161,-1)+1,1)),NA())</f>
        <v>72.5</v>
      </c>
      <c r="J15" s="13" t="n">
        <f aca="false">IFERROR(INDEX(Fig4c_Loci!$K$11:$K$161,IFERROR(MATCH($A15,Fig4c_Loci!$J$11:$J$161,-1)+1,1)),NA())</f>
        <v>0.129656272655313</v>
      </c>
      <c r="K15" s="8" t="n">
        <f aca="false">IFERROR(INDEX(Fig4c_Loci!$A$11:$A$161,IFERROR(MATCH($A15,Fig4c_Loci!$J$11:$J$161,-1)+1,1)),NA())</f>
        <v>74</v>
      </c>
    </row>
    <row r="16" customFormat="false" ht="15" hidden="false" customHeight="false" outlineLevel="0" collapsed="false">
      <c r="A16" s="4" t="n">
        <v>1.34</v>
      </c>
      <c r="B16" s="13" t="n">
        <f aca="false">IFERROR(INDEX(Fig4c_Loci!$C$11:$C$161,IFERROR(MATCH($A16,Fig4c_Loci!$B$11:$B$161,-1)+1,1)),NA())</f>
        <v>0.036597044773253</v>
      </c>
      <c r="C16" s="8" t="n">
        <f aca="false">IFERROR(INDEX(Fig4c_Loci!$A$11:$A$161,IFERROR(MATCH($A16,Fig4c_Loci!$B$11:$B$161,-1)+1,1)),NA())</f>
        <v>68</v>
      </c>
      <c r="D16" s="13" t="n">
        <f aca="false">IFERROR(INDEX(Fig4c_Loci!$E$11:$E$161,IFERROR(MATCH($A16,Fig4c_Loci!$D$11:$D$161,-1)+1,1)),NA())</f>
        <v>0.038735090591246</v>
      </c>
      <c r="E16" s="8" t="n">
        <f aca="false">IFERROR(INDEX(Fig4c_Loci!$A$11:$A$161,IFERROR(MATCH($A16,Fig4c_Loci!$D$11:$D$161,-1)+1,1)),NA())</f>
        <v>68.5</v>
      </c>
      <c r="F16" s="13" t="n">
        <f aca="false">IFERROR(INDEX(Fig4c_Loci!$G$11:$G$161,IFERROR(MATCH($A16,Fig4c_Loci!$F$11:$F$161,-1)+1,1)),NA())</f>
        <v>0.043358873845709</v>
      </c>
      <c r="G16" s="8" t="n">
        <f aca="false">IFERROR(INDEX(Fig4c_Loci!$A$11:$A$161,IFERROR(MATCH($A16,Fig4c_Loci!$F$11:$F$161,-1)+1,1)),NA())</f>
        <v>70</v>
      </c>
      <c r="H16" s="13" t="n">
        <f aca="false">IFERROR(INDEX(Fig4c_Loci!$I$11:$I$161,IFERROR(MATCH($A16,Fig4c_Loci!$H$11:$H$161,-1)+1,1)),NA())</f>
        <v>0.0529279270652022</v>
      </c>
      <c r="I16" s="8" t="n">
        <f aca="false">IFERROR(INDEX(Fig4c_Loci!$A$11:$A$161,IFERROR(MATCH($A16,Fig4c_Loci!$H$11:$H$161,-1)+1,1)),NA())</f>
        <v>71.5</v>
      </c>
      <c r="J16" s="13" t="n">
        <f aca="false">IFERROR(INDEX(Fig4c_Loci!$K$11:$K$161,IFERROR(MATCH($A16,Fig4c_Loci!$J$11:$J$161,-1)+1,1)),NA())</f>
        <v>0.134982435796735</v>
      </c>
      <c r="K16" s="8" t="n">
        <f aca="false">IFERROR(INDEX(Fig4c_Loci!$A$11:$A$161,IFERROR(MATCH($A16,Fig4c_Loci!$J$11:$J$161,-1)+1,1)),NA())</f>
        <v>73</v>
      </c>
    </row>
    <row r="17" customFormat="false" ht="15" hidden="false" customHeight="false" outlineLevel="0" collapsed="false">
      <c r="A17" s="4" t="n">
        <v>1.36</v>
      </c>
      <c r="B17" s="13" t="n">
        <f aca="false">IFERROR(INDEX(Fig4c_Loci!$C$11:$C$161,IFERROR(MATCH($A17,Fig4c_Loci!$B$11:$B$161,-1)+1,1)),NA())</f>
        <v>0.037265300214829</v>
      </c>
      <c r="C17" s="8" t="n">
        <f aca="false">IFERROR(INDEX(Fig4c_Loci!$A$11:$A$161,IFERROR(MATCH($A17,Fig4c_Loci!$B$11:$B$161,-1)+1,1)),NA())</f>
        <v>66.5</v>
      </c>
      <c r="D17" s="13" t="n">
        <f aca="false">IFERROR(INDEX(Fig4c_Loci!$E$11:$E$161,IFERROR(MATCH($A17,Fig4c_Loci!$D$11:$D$161,-1)+1,1)),NA())</f>
        <v>0.0392865322311177</v>
      </c>
      <c r="E17" s="8" t="n">
        <f aca="false">IFERROR(INDEX(Fig4c_Loci!$A$11:$A$161,IFERROR(MATCH($A17,Fig4c_Loci!$D$11:$D$161,-1)+1,1)),NA())</f>
        <v>67.5</v>
      </c>
      <c r="F17" s="13" t="n">
        <f aca="false">IFERROR(INDEX(Fig4c_Loci!$G$11:$G$161,IFERROR(MATCH($A17,Fig4c_Loci!$F$11:$F$161,-1)+1,1)),NA())</f>
        <v>0.0445608476953936</v>
      </c>
      <c r="G17" s="8" t="n">
        <f aca="false">IFERROR(INDEX(Fig4c_Loci!$A$11:$A$161,IFERROR(MATCH($A17,Fig4c_Loci!$F$11:$F$161,-1)+1,1)),NA())</f>
        <v>68.5</v>
      </c>
      <c r="H17" s="13" t="n">
        <f aca="false">IFERROR(INDEX(Fig4c_Loci!$I$11:$I$161,IFERROR(MATCH($A17,Fig4c_Loci!$H$11:$H$161,-1)+1,1)),NA())</f>
        <v>0.0548814335548159</v>
      </c>
      <c r="I17" s="8" t="n">
        <f aca="false">IFERROR(INDEX(Fig4c_Loci!$A$11:$A$161,IFERROR(MATCH($A17,Fig4c_Loci!$H$11:$H$161,-1)+1,1)),NA())</f>
        <v>70</v>
      </c>
      <c r="J17" s="13" t="n">
        <f aca="false">IFERROR(INDEX(Fig4c_Loci!$K$11:$K$161,IFERROR(MATCH($A17,Fig4c_Loci!$J$11:$J$161,-1)+1,1)),NA())</f>
        <v>0.143222029424825</v>
      </c>
      <c r="K17" s="8" t="n">
        <f aca="false">IFERROR(INDEX(Fig4c_Loci!$A$11:$A$161,IFERROR(MATCH($A17,Fig4c_Loci!$J$11:$J$161,-1)+1,1)),NA())</f>
        <v>71.5</v>
      </c>
    </row>
    <row r="18" customFormat="false" ht="15" hidden="false" customHeight="false" outlineLevel="0" collapsed="false">
      <c r="A18" s="4" t="n">
        <v>1.38</v>
      </c>
      <c r="B18" s="13" t="n">
        <f aca="false">IFERROR(INDEX(Fig4c_Loci!$C$11:$C$161,IFERROR(MATCH($A18,Fig4c_Loci!$B$11:$B$161,-1)+1,1)),NA())</f>
        <v>0.037721587228922</v>
      </c>
      <c r="C18" s="8" t="n">
        <f aca="false">IFERROR(INDEX(Fig4c_Loci!$A$11:$A$161,IFERROR(MATCH($A18,Fig4c_Loci!$B$11:$B$161,-1)+1,1)),NA())</f>
        <v>65.5</v>
      </c>
      <c r="D18" s="13" t="n">
        <f aca="false">IFERROR(INDEX(Fig4c_Loci!$E$11:$E$161,IFERROR(MATCH($A18,Fig4c_Loci!$D$11:$D$161,-1)+1,1)),NA())</f>
        <v>0.0401358012833062</v>
      </c>
      <c r="E18" s="8" t="n">
        <f aca="false">IFERROR(INDEX(Fig4c_Loci!$A$11:$A$161,IFERROR(MATCH($A18,Fig4c_Loci!$D$11:$D$161,-1)+1,1)),NA())</f>
        <v>66</v>
      </c>
      <c r="F18" s="13" t="n">
        <f aca="false">IFERROR(INDEX(Fig4c_Loci!$G$11:$G$161,IFERROR(MATCH($A18,Fig4c_Loci!$F$11:$F$161,-1)+1,1)),NA())</f>
        <v>0.0458055556646683</v>
      </c>
      <c r="G18" s="8" t="n">
        <f aca="false">IFERROR(INDEX(Fig4c_Loci!$A$11:$A$161,IFERROR(MATCH($A18,Fig4c_Loci!$F$11:$F$161,-1)+1,1)),NA())</f>
        <v>67</v>
      </c>
      <c r="H18" s="13" t="n">
        <f aca="false">IFERROR(INDEX(Fig4c_Loci!$I$11:$I$161,IFERROR(MATCH($A18,Fig4c_Loci!$H$11:$H$161,-1)+1,1)),NA())</f>
        <v>0.056907751879913</v>
      </c>
      <c r="I18" s="8" t="n">
        <f aca="false">IFERROR(INDEX(Fig4c_Loci!$A$11:$A$161,IFERROR(MATCH($A18,Fig4c_Loci!$H$11:$H$161,-1)+1,1)),NA())</f>
        <v>68.5</v>
      </c>
      <c r="J18" s="13" t="n">
        <f aca="false">IFERROR(INDEX(Fig4c_Loci!$K$11:$K$161,IFERROR(MATCH($A18,Fig4c_Loci!$J$11:$J$161,-1)+1,1)),NA())</f>
        <v>0.148889362843073</v>
      </c>
      <c r="K18" s="8" t="n">
        <f aca="false">IFERROR(INDEX(Fig4c_Loci!$A$11:$A$161,IFERROR(MATCH($A18,Fig4c_Loci!$J$11:$J$161,-1)+1,1)),NA())</f>
        <v>70.5</v>
      </c>
    </row>
    <row r="19" customFormat="false" ht="15" hidden="false" customHeight="false" outlineLevel="0" collapsed="false">
      <c r="A19" s="4" t="n">
        <v>1.4</v>
      </c>
      <c r="B19" s="13" t="n">
        <f aca="false">IFERROR(INDEX(Fig4c_Loci!$C$11:$C$161,IFERROR(MATCH($A19,Fig4c_Loci!$B$11:$B$161,-1)+1,1)),NA())</f>
        <v>0.0384228270383725</v>
      </c>
      <c r="C19" s="8" t="n">
        <f aca="false">IFERROR(INDEX(Fig4c_Loci!$A$11:$A$161,IFERROR(MATCH($A19,Fig4c_Loci!$B$11:$B$161,-1)+1,1)),NA())</f>
        <v>64</v>
      </c>
      <c r="D19" s="13" t="n">
        <f aca="false">IFERROR(INDEX(Fig4c_Loci!$E$11:$E$161,IFERROR(MATCH($A19,Fig4c_Loci!$D$11:$D$161,-1)+1,1)),NA())</f>
        <v>0.0410127481551902</v>
      </c>
      <c r="E19" s="8" t="n">
        <f aca="false">IFERROR(INDEX(Fig4c_Loci!$A$11:$A$161,IFERROR(MATCH($A19,Fig4c_Loci!$D$11:$D$161,-1)+1,1)),NA())</f>
        <v>64.5</v>
      </c>
      <c r="F19" s="13" t="n">
        <f aca="false">IFERROR(INDEX(Fig4c_Loci!$G$11:$G$161,IFERROR(MATCH($A19,Fig4c_Loci!$F$11:$F$161,-1)+1,1)),NA())</f>
        <v>0.0466602373828072</v>
      </c>
      <c r="G19" s="8" t="n">
        <f aca="false">IFERROR(INDEX(Fig4c_Loci!$A$11:$A$161,IFERROR(MATCH($A19,Fig4c_Loci!$F$11:$F$161,-1)+1,1)),NA())</f>
        <v>66</v>
      </c>
      <c r="H19" s="13" t="n">
        <f aca="false">IFERROR(INDEX(Fig4c_Loci!$I$11:$I$161,IFERROR(MATCH($A19,Fig4c_Loci!$H$11:$H$161,-1)+1,1)),NA())</f>
        <v>0.0583011087374848</v>
      </c>
      <c r="I19" s="8" t="n">
        <f aca="false">IFERROR(INDEX(Fig4c_Loci!$A$11:$A$161,IFERROR(MATCH($A19,Fig4c_Loci!$H$11:$H$161,-1)+1,1)),NA())</f>
        <v>67.5</v>
      </c>
      <c r="J19" s="13" t="n">
        <f aca="false">IFERROR(INDEX(Fig4c_Loci!$K$11:$K$161,IFERROR(MATCH($A19,Fig4c_Loci!$J$11:$J$161,-1)+1,1)),NA())</f>
        <v>0.157665219440479</v>
      </c>
      <c r="K19" s="8" t="n">
        <f aca="false">IFERROR(INDEX(Fig4c_Loci!$A$11:$A$161,IFERROR(MATCH($A19,Fig4c_Loci!$J$11:$J$161,-1)+1,1)),NA())</f>
        <v>69</v>
      </c>
    </row>
    <row r="20" customFormat="false" ht="15" hidden="false" customHeight="false" outlineLevel="0" collapsed="false">
      <c r="A20" s="4" t="n">
        <v>1.42</v>
      </c>
      <c r="B20" s="13" t="n">
        <f aca="false">IFERROR(INDEX(Fig4c_Loci!$C$11:$C$161,IFERROR(MATCH($A20,Fig4c_Loci!$B$11:$B$161,-1)+1,1)),NA())</f>
        <v>0.0391450406856189</v>
      </c>
      <c r="C20" s="8" t="n">
        <f aca="false">IFERROR(INDEX(Fig4c_Loci!$A$11:$A$161,IFERROR(MATCH($A20,Fig4c_Loci!$B$11:$B$161,-1)+1,1)),NA())</f>
        <v>62.5</v>
      </c>
      <c r="D20" s="13" t="n">
        <f aca="false">IFERROR(INDEX(Fig4c_Loci!$E$11:$E$161,IFERROR(MATCH($A20,Fig4c_Loci!$D$11:$D$161,-1)+1,1)),NA())</f>
        <v>0.041918744870728</v>
      </c>
      <c r="E20" s="8" t="n">
        <f aca="false">IFERROR(INDEX(Fig4c_Loci!$A$11:$A$161,IFERROR(MATCH($A20,Fig4c_Loci!$D$11:$D$161,-1)+1,1)),NA())</f>
        <v>63</v>
      </c>
      <c r="F20" s="13" t="n">
        <f aca="false">IFERROR(INDEX(Fig4c_Loci!$G$11:$G$161,IFERROR(MATCH($A20,Fig4c_Loci!$F$11:$F$161,-1)+1,1)),NA())</f>
        <v>0.0479813914092297</v>
      </c>
      <c r="G20" s="8" t="n">
        <f aca="false">IFERROR(INDEX(Fig4c_Loci!$A$11:$A$161,IFERROR(MATCH($A20,Fig4c_Loci!$F$11:$F$161,-1)+1,1)),NA())</f>
        <v>64.5</v>
      </c>
      <c r="H20" s="13" t="n">
        <f aca="false">IFERROR(INDEX(Fig4c_Loci!$I$11:$I$161,IFERROR(MATCH($A20,Fig4c_Loci!$H$11:$H$161,-1)+1,1)),NA())</f>
        <v>0.0604581149058905</v>
      </c>
      <c r="I20" s="8" t="n">
        <f aca="false">IFERROR(INDEX(Fig4c_Loci!$A$11:$A$161,IFERROR(MATCH($A20,Fig4c_Loci!$H$11:$H$161,-1)+1,1)),NA())</f>
        <v>66</v>
      </c>
      <c r="J20" s="13" t="n">
        <f aca="false">IFERROR(INDEX(Fig4c_Loci!$K$11:$K$161,IFERROR(MATCH($A20,Fig4c_Loci!$J$11:$J$161,-1)+1,1)),NA())</f>
        <v>0.163707385127386</v>
      </c>
      <c r="K20" s="8" t="n">
        <f aca="false">IFERROR(INDEX(Fig4c_Loci!$A$11:$A$161,IFERROR(MATCH($A20,Fig4c_Loci!$J$11:$J$161,-1)+1,1)),NA())</f>
        <v>68</v>
      </c>
    </row>
    <row r="21" customFormat="false" ht="15" hidden="false" customHeight="false" outlineLevel="0" collapsed="false">
      <c r="A21" s="4" t="n">
        <v>1.44</v>
      </c>
      <c r="B21" s="13" t="n">
        <f aca="false">IFERROR(INDEX(Fig4c_Loci!$C$11:$C$161,IFERROR(MATCH($A21,Fig4c_Loci!$B$11:$B$161,-1)+1,1)),NA())</f>
        <v>0.0396386369270414</v>
      </c>
      <c r="C21" s="8" t="n">
        <f aca="false">IFERROR(INDEX(Fig4c_Loci!$A$11:$A$161,IFERROR(MATCH($A21,Fig4c_Loci!$B$11:$B$161,-1)+1,1)),NA())</f>
        <v>61.5</v>
      </c>
      <c r="D21" s="13" t="n">
        <f aca="false">IFERROR(INDEX(Fig4c_Loci!$E$11:$E$161,IFERROR(MATCH($A21,Fig4c_Loci!$D$11:$D$161,-1)+1,1)),NA())</f>
        <v>0.0425396005324183</v>
      </c>
      <c r="E21" s="8" t="n">
        <f aca="false">IFERROR(INDEX(Fig4c_Loci!$A$11:$A$161,IFERROR(MATCH($A21,Fig4c_Loci!$D$11:$D$161,-1)+1,1)),NA())</f>
        <v>62</v>
      </c>
      <c r="F21" s="13" t="n">
        <f aca="false">IFERROR(INDEX(Fig4c_Loci!$G$11:$G$161,IFERROR(MATCH($A21,Fig4c_Loci!$F$11:$F$161,-1)+1,1)),NA())</f>
        <v>0.0488893735134569</v>
      </c>
      <c r="G21" s="8" t="n">
        <f aca="false">IFERROR(INDEX(Fig4c_Loci!$A$11:$A$161,IFERROR(MATCH($A21,Fig4c_Loci!$F$11:$F$161,-1)+1,1)),NA())</f>
        <v>63.5</v>
      </c>
      <c r="H21" s="13" t="n">
        <f aca="false">IFERROR(INDEX(Fig4c_Loci!$I$11:$I$161,IFERROR(MATCH($A21,Fig4c_Loci!$H$11:$H$161,-1)+1,1)),NA())</f>
        <v>0.0619427871235972</v>
      </c>
      <c r="I21" s="8" t="n">
        <f aca="false">IFERROR(INDEX(Fig4c_Loci!$A$11:$A$161,IFERROR(MATCH($A21,Fig4c_Loci!$H$11:$H$161,-1)+1,1)),NA())</f>
        <v>65</v>
      </c>
      <c r="J21" s="13" t="n">
        <f aca="false">IFERROR(INDEX(Fig4c_Loci!$K$11:$K$161,IFERROR(MATCH($A21,Fig4c_Loci!$J$11:$J$161,-1)+1,1)),NA())</f>
        <v>0.169909909279605</v>
      </c>
      <c r="K21" s="8" t="n">
        <f aca="false">IFERROR(INDEX(Fig4c_Loci!$A$11:$A$161,IFERROR(MATCH($A21,Fig4c_Loci!$J$11:$J$161,-1)+1,1)),NA())</f>
        <v>67</v>
      </c>
    </row>
    <row r="22" customFormat="false" ht="15" hidden="false" customHeight="false" outlineLevel="0" collapsed="false">
      <c r="A22" s="4" t="n">
        <v>1.46</v>
      </c>
      <c r="B22" s="13" t="n">
        <f aca="false">IFERROR(INDEX(Fig4c_Loci!$C$11:$C$161,IFERROR(MATCH($A22,Fig4c_Loci!$B$11:$B$161,-1)+1,1)),NA())</f>
        <v>0.0403979539397797</v>
      </c>
      <c r="C22" s="8" t="n">
        <f aca="false">IFERROR(INDEX(Fig4c_Loci!$A$11:$A$161,IFERROR(MATCH($A22,Fig4c_Loci!$B$11:$B$161,-1)+1,1)),NA())</f>
        <v>60</v>
      </c>
      <c r="D22" s="13" t="n">
        <f aca="false">IFERROR(INDEX(Fig4c_Loci!$E$11:$E$161,IFERROR(MATCH($A22,Fig4c_Loci!$D$11:$D$161,-1)+1,1)),NA())</f>
        <v>0.0434973165725686</v>
      </c>
      <c r="E22" s="8" t="n">
        <f aca="false">IFERROR(INDEX(Fig4c_Loci!$A$11:$A$161,IFERROR(MATCH($A22,Fig4c_Loci!$D$11:$D$161,-1)+1,1)),NA())</f>
        <v>60.5</v>
      </c>
      <c r="F22" s="13" t="n">
        <f aca="false">IFERROR(INDEX(Fig4c_Loci!$G$11:$G$161,IFERROR(MATCH($A22,Fig4c_Loci!$F$11:$F$161,-1)+1,1)),NA())</f>
        <v>0.0502942156485884</v>
      </c>
      <c r="G22" s="8" t="n">
        <f aca="false">IFERROR(INDEX(Fig4c_Loci!$A$11:$A$161,IFERROR(MATCH($A22,Fig4c_Loci!$F$11:$F$161,-1)+1,1)),NA())</f>
        <v>62</v>
      </c>
      <c r="H22" s="13" t="n">
        <f aca="false">IFERROR(INDEX(Fig4c_Loci!$I$11:$I$161,IFERROR(MATCH($A22,Fig4c_Loci!$H$11:$H$161,-1)+1,1)),NA())</f>
        <v>0.0634665058182241</v>
      </c>
      <c r="I22" s="8" t="n">
        <f aca="false">IFERROR(INDEX(Fig4c_Loci!$A$11:$A$161,IFERROR(MATCH($A22,Fig4c_Loci!$H$11:$H$161,-1)+1,1)),NA())</f>
        <v>64</v>
      </c>
      <c r="J22" s="13" t="n">
        <f aca="false">IFERROR(INDEX(Fig4c_Loci!$K$11:$K$161,IFERROR(MATCH($A22,Fig4c_Loci!$J$11:$J$161,-1)+1,1)),NA())</f>
        <v>0.176279228338463</v>
      </c>
      <c r="K22" s="8" t="n">
        <f aca="false">IFERROR(INDEX(Fig4c_Loci!$A$11:$A$161,IFERROR(MATCH($A22,Fig4c_Loci!$J$11:$J$161,-1)+1,1)),NA())</f>
        <v>66</v>
      </c>
    </row>
    <row r="23" customFormat="false" ht="15" hidden="false" customHeight="false" outlineLevel="0" collapsed="false">
      <c r="A23" s="4" t="n">
        <v>1.48</v>
      </c>
      <c r="B23" s="13" t="n">
        <f aca="false">IFERROR(INDEX(Fig4c_Loci!$C$11:$C$161,IFERROR(MATCH($A23,Fig4c_Loci!$B$11:$B$161,-1)+1,1)),NA())</f>
        <v>0.0411809191894814</v>
      </c>
      <c r="C23" s="8" t="n">
        <f aca="false">IFERROR(INDEX(Fig4c_Loci!$A$11:$A$161,IFERROR(MATCH($A23,Fig4c_Loci!$B$11:$B$161,-1)+1,1)),NA())</f>
        <v>58.5</v>
      </c>
      <c r="D23" s="13" t="n">
        <f aca="false">IFERROR(INDEX(Fig4c_Loci!$E$11:$E$161,IFERROR(MATCH($A23,Fig4c_Loci!$D$11:$D$161,-1)+1,1)),NA())</f>
        <v>0.0441541222856638</v>
      </c>
      <c r="E23" s="8" t="n">
        <f aca="false">IFERROR(INDEX(Fig4c_Loci!$A$11:$A$161,IFERROR(MATCH($A23,Fig4c_Loci!$D$11:$D$161,-1)+1,1)),NA())</f>
        <v>59.5</v>
      </c>
      <c r="F23" s="13" t="n">
        <f aca="false">IFERROR(INDEX(Fig4c_Loci!$G$11:$G$161,IFERROR(MATCH($A23,Fig4c_Loci!$F$11:$F$161,-1)+1,1)),NA())</f>
        <v>0.0512606281485211</v>
      </c>
      <c r="G23" s="8" t="n">
        <f aca="false">IFERROR(INDEX(Fig4c_Loci!$A$11:$A$161,IFERROR(MATCH($A23,Fig4c_Loci!$F$11:$F$161,-1)+1,1)),NA())</f>
        <v>61</v>
      </c>
      <c r="H23" s="13" t="n">
        <f aca="false">IFERROR(INDEX(Fig4c_Loci!$I$11:$I$161,IFERROR(MATCH($A23,Fig4c_Loci!$H$11:$H$161,-1)+1,1)),NA())</f>
        <v>0.065828720478729</v>
      </c>
      <c r="I23" s="8" t="n">
        <f aca="false">IFERROR(INDEX(Fig4c_Loci!$A$11:$A$161,IFERROR(MATCH($A23,Fig4c_Loci!$H$11:$H$161,-1)+1,1)),NA())</f>
        <v>62.5</v>
      </c>
      <c r="J23" s="13" t="n">
        <f aca="false">IFERROR(INDEX(Fig4c_Loci!$K$11:$K$161,IFERROR(MATCH($A23,Fig4c_Loci!$J$11:$J$161,-1)+1,1)),NA())</f>
        <v>0.186160892112304</v>
      </c>
      <c r="K23" s="8" t="n">
        <f aca="false">IFERROR(INDEX(Fig4c_Loci!$A$11:$A$161,IFERROR(MATCH($A23,Fig4c_Loci!$J$11:$J$161,-1)+1,1)),NA())</f>
        <v>64.5</v>
      </c>
    </row>
    <row r="24" customFormat="false" ht="15" hidden="false" customHeight="false" outlineLevel="0" collapsed="false">
      <c r="A24" s="4" t="n">
        <v>1.5</v>
      </c>
      <c r="B24" s="13" t="n">
        <f aca="false">IFERROR(INDEX(Fig4c_Loci!$C$11:$C$161,IFERROR(MATCH($A24,Fig4c_Loci!$B$11:$B$161,-1)+1,1)),NA())</f>
        <v>0.0417165841075855</v>
      </c>
      <c r="C24" s="8" t="n">
        <f aca="false">IFERROR(INDEX(Fig4c_Loci!$A$11:$A$161,IFERROR(MATCH($A24,Fig4c_Loci!$B$11:$B$161,-1)+1,1)),NA())</f>
        <v>57.5</v>
      </c>
      <c r="D24" s="13" t="n">
        <f aca="false">IFERROR(INDEX(Fig4c_Loci!$E$11:$E$161,IFERROR(MATCH($A24,Fig4c_Loci!$D$11:$D$161,-1)+1,1)),NA())</f>
        <v>0.0451681054035491</v>
      </c>
      <c r="E24" s="8" t="n">
        <f aca="false">IFERROR(INDEX(Fig4c_Loci!$A$11:$A$161,IFERROR(MATCH($A24,Fig4c_Loci!$D$11:$D$161,-1)+1,1)),NA())</f>
        <v>58</v>
      </c>
      <c r="F24" s="13" t="n">
        <f aca="false">IFERROR(INDEX(Fig4c_Loci!$G$11:$G$161,IFERROR(MATCH($A24,Fig4c_Loci!$F$11:$F$161,-1)+1,1)),NA())</f>
        <v>0.0522519978728727</v>
      </c>
      <c r="G24" s="8" t="n">
        <f aca="false">IFERROR(INDEX(Fig4c_Loci!$A$11:$A$161,IFERROR(MATCH($A24,Fig4c_Loci!$F$11:$F$161,-1)+1,1)),NA())</f>
        <v>60</v>
      </c>
      <c r="H24" s="13" t="n">
        <f aca="false">IFERROR(INDEX(Fig4c_Loci!$I$11:$I$161,IFERROR(MATCH($A24,Fig4c_Loci!$H$11:$H$161,-1)+1,1)),NA())</f>
        <v>0.0674570434660338</v>
      </c>
      <c r="I24" s="8" t="n">
        <f aca="false">IFERROR(INDEX(Fig4c_Loci!$A$11:$A$161,IFERROR(MATCH($A24,Fig4c_Loci!$H$11:$H$161,-1)+1,1)),NA())</f>
        <v>61.5</v>
      </c>
      <c r="J24" s="13" t="n">
        <f aca="false">IFERROR(INDEX(Fig4c_Loci!$K$11:$K$161,IFERROR(MATCH($A24,Fig4c_Loci!$J$11:$J$161,-1)+1,1)),NA())</f>
        <v>0.192977708491434</v>
      </c>
      <c r="K24" s="8" t="n">
        <f aca="false">IFERROR(INDEX(Fig4c_Loci!$A$11:$A$161,IFERROR(MATCH($A24,Fig4c_Loci!$J$11:$J$161,-1)+1,1)),NA())</f>
        <v>63.5</v>
      </c>
    </row>
    <row r="25" customFormat="false" ht="15" hidden="false" customHeight="false" outlineLevel="0" collapsed="false">
      <c r="A25" s="4" t="n">
        <v>1.52</v>
      </c>
      <c r="B25" s="13" t="n">
        <f aca="false">IFERROR(INDEX(Fig4c_Loci!$C$11:$C$161,IFERROR(MATCH($A25,Fig4c_Loci!$B$11:$B$161,-1)+1,1)),NA())</f>
        <v>0.0422636049891488</v>
      </c>
      <c r="C25" s="8" t="n">
        <f aca="false">IFERROR(INDEX(Fig4c_Loci!$A$11:$A$161,IFERROR(MATCH($A25,Fig4c_Loci!$B$11:$B$161,-1)+1,1)),NA())</f>
        <v>56.5</v>
      </c>
      <c r="D25" s="13" t="n">
        <f aca="false">IFERROR(INDEX(Fig4c_Loci!$E$11:$E$161,IFERROR(MATCH($A25,Fig4c_Loci!$D$11:$D$161,-1)+1,1)),NA())</f>
        <v>0.0458640691299578</v>
      </c>
      <c r="E25" s="8" t="n">
        <f aca="false">IFERROR(INDEX(Fig4c_Loci!$A$11:$A$161,IFERROR(MATCH($A25,Fig4c_Loci!$D$11:$D$161,-1)+1,1)),NA())</f>
        <v>57</v>
      </c>
      <c r="F25" s="13" t="n">
        <f aca="false">IFERROR(INDEX(Fig4c_Loci!$G$11:$G$161,IFERROR(MATCH($A25,Fig4c_Loci!$F$11:$F$161,-1)+1,1)),NA())</f>
        <v>0.0537879979412361</v>
      </c>
      <c r="G25" s="8" t="n">
        <f aca="false">IFERROR(INDEX(Fig4c_Loci!$A$11:$A$161,IFERROR(MATCH($A25,Fig4c_Loci!$F$11:$F$161,-1)+1,1)),NA())</f>
        <v>58.5</v>
      </c>
      <c r="H25" s="13" t="n">
        <f aca="false">IFERROR(INDEX(Fig4c_Loci!$I$11:$I$161,IFERROR(MATCH($A25,Fig4c_Loci!$H$11:$H$161,-1)+1,1)),NA())</f>
        <v>0.0691302344602022</v>
      </c>
      <c r="I25" s="8" t="n">
        <f aca="false">IFERROR(INDEX(Fig4c_Loci!$A$11:$A$161,IFERROR(MATCH($A25,Fig4c_Loci!$H$11:$H$161,-1)+1,1)),NA())</f>
        <v>60.5</v>
      </c>
      <c r="J25" s="13" t="n">
        <f aca="false">IFERROR(INDEX(Fig4c_Loci!$K$11:$K$161,IFERROR(MATCH($A25,Fig4c_Loci!$J$11:$J$161,-1)+1,1)),NA())</f>
        <v>0.199986759078257</v>
      </c>
      <c r="K25" s="8" t="n">
        <f aca="false">IFERROR(INDEX(Fig4c_Loci!$A$11:$A$161,IFERROR(MATCH($A25,Fig4c_Loci!$J$11:$J$161,-1)+1,1)),NA())</f>
        <v>62.5</v>
      </c>
    </row>
    <row r="26" customFormat="false" ht="15" hidden="false" customHeight="false" outlineLevel="0" collapsed="false">
      <c r="A26" s="4" t="n">
        <v>1.54</v>
      </c>
      <c r="B26" s="13" t="n">
        <f aca="false">IFERROR(INDEX(Fig4c_Loci!$C$11:$C$161,IFERROR(MATCH($A26,Fig4c_Loci!$B$11:$B$161,-1)+1,1)),NA())</f>
        <v>0.0431062299148672</v>
      </c>
      <c r="C26" s="8" t="n">
        <f aca="false">IFERROR(INDEX(Fig4c_Loci!$A$11:$A$161,IFERROR(MATCH($A26,Fig4c_Loci!$B$11:$B$161,-1)+1,1)),NA())</f>
        <v>55</v>
      </c>
      <c r="D26" s="13" t="n">
        <f aca="false">IFERROR(INDEX(Fig4c_Loci!$E$11:$E$161,IFERROR(MATCH($A26,Fig4c_Loci!$D$11:$D$161,-1)+1,1)),NA())</f>
        <v>0.0465766804300617</v>
      </c>
      <c r="E26" s="8" t="n">
        <f aca="false">IFERROR(INDEX(Fig4c_Loci!$A$11:$A$161,IFERROR(MATCH($A26,Fig4c_Loci!$D$11:$D$161,-1)+1,1)),NA())</f>
        <v>56</v>
      </c>
      <c r="F26" s="13" t="n">
        <f aca="false">IFERROR(INDEX(Fig4c_Loci!$G$11:$G$161,IFERROR(MATCH($A26,Fig4c_Loci!$F$11:$F$161,-1)+1,1)),NA())</f>
        <v>0.0548461479488896</v>
      </c>
      <c r="G26" s="8" t="n">
        <f aca="false">IFERROR(INDEX(Fig4c_Loci!$A$11:$A$161,IFERROR(MATCH($A26,Fig4c_Loci!$F$11:$F$161,-1)+1,1)),NA())</f>
        <v>57.5</v>
      </c>
      <c r="H26" s="13" t="n">
        <f aca="false">IFERROR(INDEX(Fig4c_Loci!$I$11:$I$161,IFERROR(MATCH($A26,Fig4c_Loci!$H$11:$H$161,-1)+1,1)),NA())</f>
        <v>0.0708501674600289</v>
      </c>
      <c r="I26" s="8" t="n">
        <f aca="false">IFERROR(INDEX(Fig4c_Loci!$A$11:$A$161,IFERROR(MATCH($A26,Fig4c_Loci!$H$11:$H$161,-1)+1,1)),NA())</f>
        <v>59.5</v>
      </c>
      <c r="J26" s="13" t="n">
        <f aca="false">IFERROR(INDEX(Fig4c_Loci!$K$11:$K$161,IFERROR(MATCH($A26,Fig4c_Loci!$J$11:$J$161,-1)+1,1)),NA())</f>
        <v>0.207196253971498</v>
      </c>
      <c r="K26" s="8" t="n">
        <f aca="false">IFERROR(INDEX(Fig4c_Loci!$A$11:$A$161,IFERROR(MATCH($A26,Fig4c_Loci!$J$11:$J$161,-1)+1,1)),NA())</f>
        <v>61.5</v>
      </c>
    </row>
    <row r="27" customFormat="false" ht="15" hidden="false" customHeight="false" outlineLevel="0" collapsed="false">
      <c r="A27" s="4" t="n">
        <v>1.56</v>
      </c>
      <c r="B27" s="13" t="n">
        <f aca="false">IFERROR(INDEX(Fig4c_Loci!$C$11:$C$161,IFERROR(MATCH($A27,Fig4c_Loci!$B$11:$B$161,-1)+1,1)),NA())</f>
        <v>0.0436832691683996</v>
      </c>
      <c r="C27" s="8" t="n">
        <f aca="false">IFERROR(INDEX(Fig4c_Loci!$A$11:$A$161,IFERROR(MATCH($A27,Fig4c_Loci!$B$11:$B$161,-1)+1,1)),NA())</f>
        <v>54</v>
      </c>
      <c r="D27" s="13" t="n">
        <f aca="false">IFERROR(INDEX(Fig4c_Loci!$E$11:$E$161,IFERROR(MATCH($A27,Fig4c_Loci!$D$11:$D$161,-1)+1,1)),NA())</f>
        <v>0.0473065426289806</v>
      </c>
      <c r="E27" s="8" t="n">
        <f aca="false">IFERROR(INDEX(Fig4c_Loci!$A$11:$A$161,IFERROR(MATCH($A27,Fig4c_Loci!$D$11:$D$161,-1)+1,1)),NA())</f>
        <v>55</v>
      </c>
      <c r="F27" s="13" t="n">
        <f aca="false">IFERROR(INDEX(Fig4c_Loci!$G$11:$G$161,IFERROR(MATCH($A27,Fig4c_Loci!$F$11:$F$161,-1)+1,1)),NA())</f>
        <v>0.055932907412952</v>
      </c>
      <c r="G27" s="8" t="n">
        <f aca="false">IFERROR(INDEX(Fig4c_Loci!$A$11:$A$161,IFERROR(MATCH($A27,Fig4c_Loci!$F$11:$F$161,-1)+1,1)),NA())</f>
        <v>56.5</v>
      </c>
      <c r="H27" s="13" t="n">
        <f aca="false">IFERROR(INDEX(Fig4c_Loci!$I$11:$I$161,IFERROR(MATCH($A27,Fig4c_Loci!$H$11:$H$161,-1)+1,1)),NA())</f>
        <v>0.0726188222966758</v>
      </c>
      <c r="I27" s="8" t="n">
        <f aca="false">IFERROR(INDEX(Fig4c_Loci!$A$11:$A$161,IFERROR(MATCH($A27,Fig4c_Loci!$H$11:$H$161,-1)+1,1)),NA())</f>
        <v>58.5</v>
      </c>
      <c r="J27" s="13" t="n">
        <f aca="false">IFERROR(INDEX(Fig4c_Loci!$K$11:$K$161,IFERROR(MATCH($A27,Fig4c_Loci!$J$11:$J$161,-1)+1,1)),NA())</f>
        <v>0.214614877531123</v>
      </c>
      <c r="K27" s="8" t="n">
        <f aca="false">IFERROR(INDEX(Fig4c_Loci!$A$11:$A$161,IFERROR(MATCH($A27,Fig4c_Loci!$J$11:$J$161,-1)+1,1)),NA())</f>
        <v>60.5</v>
      </c>
    </row>
    <row r="28" customFormat="false" ht="15" hidden="false" customHeight="false" outlineLevel="0" collapsed="false">
      <c r="A28" s="4" t="n">
        <v>1.58</v>
      </c>
      <c r="B28" s="13" t="n">
        <f aca="false">IFERROR(INDEX(Fig4c_Loci!$C$11:$C$161,IFERROR(MATCH($A28,Fig4c_Loci!$B$11:$B$161,-1)+1,1)),NA())</f>
        <v>0.0442730102099695</v>
      </c>
      <c r="C28" s="8" t="n">
        <f aca="false">IFERROR(INDEX(Fig4c_Loci!$A$11:$A$161,IFERROR(MATCH($A28,Fig4c_Loci!$B$11:$B$161,-1)+1,1)),NA())</f>
        <v>53</v>
      </c>
      <c r="D28" s="13" t="n">
        <f aca="false">IFERROR(INDEX(Fig4c_Loci!$E$11:$E$161,IFERROR(MATCH($A28,Fig4c_Loci!$D$11:$D$161,-1)+1,1)),NA())</f>
        <v>0.0484350742040393</v>
      </c>
      <c r="E28" s="8" t="n">
        <f aca="false">IFERROR(INDEX(Fig4c_Loci!$A$11:$A$161,IFERROR(MATCH($A28,Fig4c_Loci!$D$11:$D$161,-1)+1,1)),NA())</f>
        <v>53.5</v>
      </c>
      <c r="F28" s="13" t="n">
        <f aca="false">IFERROR(INDEX(Fig4c_Loci!$G$11:$G$161,IFERROR(MATCH($A28,Fig4c_Loci!$F$11:$F$161,-1)+1,1)),NA())</f>
        <v>0.0570494495968759</v>
      </c>
      <c r="G28" s="8" t="n">
        <f aca="false">IFERROR(INDEX(Fig4c_Loci!$A$11:$A$161,IFERROR(MATCH($A28,Fig4c_Loci!$F$11:$F$161,-1)+1,1)),NA())</f>
        <v>55.5</v>
      </c>
      <c r="H28" s="13" t="n">
        <f aca="false">IFERROR(INDEX(Fig4c_Loci!$I$11:$I$161,IFERROR(MATCH($A28,Fig4c_Loci!$H$11:$H$161,-1)+1,1)),NA())</f>
        <v>0.0744382922116433</v>
      </c>
      <c r="I28" s="8" t="n">
        <f aca="false">IFERROR(INDEX(Fig4c_Loci!$A$11:$A$161,IFERROR(MATCH($A28,Fig4c_Loci!$H$11:$H$161,-1)+1,1)),NA())</f>
        <v>57.5</v>
      </c>
      <c r="J28" s="13" t="n">
        <f aca="false">IFERROR(INDEX(Fig4c_Loci!$K$11:$K$161,IFERROR(MATCH($A28,Fig4c_Loci!$J$11:$J$161,-1)+1,1)),NA())</f>
        <v>0.222251823125104</v>
      </c>
      <c r="K28" s="8" t="n">
        <f aca="false">IFERROR(INDEX(Fig4c_Loci!$A$11:$A$161,IFERROR(MATCH($A28,Fig4c_Loci!$J$11:$J$161,-1)+1,1)),NA())</f>
        <v>59.5</v>
      </c>
    </row>
    <row r="29" customFormat="false" ht="15" hidden="false" customHeight="false" outlineLevel="0" collapsed="false">
      <c r="A29" s="4" t="n">
        <v>1.6</v>
      </c>
      <c r="B29" s="13" t="n">
        <f aca="false">IFERROR(INDEX(Fig4c_Loci!$C$11:$C$161,IFERROR(MATCH($A29,Fig4c_Loci!$B$11:$B$161,-1)+1,1)),NA())</f>
        <v>0.0448758763461762</v>
      </c>
      <c r="C29" s="8" t="n">
        <f aca="false">IFERROR(INDEX(Fig4c_Loci!$A$11:$A$161,IFERROR(MATCH($A29,Fig4c_Loci!$B$11:$B$161,-1)+1,1)),NA())</f>
        <v>52</v>
      </c>
      <c r="D29" s="13" t="n">
        <f aca="false">IFERROR(INDEX(Fig4c_Loci!$E$11:$E$161,IFERROR(MATCH($A29,Fig4c_Loci!$D$11:$D$161,-1)+1,1)),NA())</f>
        <v>0.0492109013818358</v>
      </c>
      <c r="E29" s="8" t="n">
        <f aca="false">IFERROR(INDEX(Fig4c_Loci!$A$11:$A$161,IFERROR(MATCH($A29,Fig4c_Loci!$D$11:$D$161,-1)+1,1)),NA())</f>
        <v>52.5</v>
      </c>
      <c r="F29" s="13" t="n">
        <f aca="false">IFERROR(INDEX(Fig4c_Loci!$G$11:$G$161,IFERROR(MATCH($A29,Fig4c_Loci!$F$11:$F$161,-1)+1,1)),NA())</f>
        <v>0.0581970128055014</v>
      </c>
      <c r="G29" s="8" t="n">
        <f aca="false">IFERROR(INDEX(Fig4c_Loci!$A$11:$A$161,IFERROR(MATCH($A29,Fig4c_Loci!$F$11:$F$161,-1)+1,1)),NA())</f>
        <v>54.5</v>
      </c>
      <c r="H29" s="13" t="n">
        <f aca="false">IFERROR(INDEX(Fig4c_Loci!$I$11:$I$161,IFERROR(MATCH($A29,Fig4c_Loci!$H$11:$H$161,-1)+1,1)),NA())</f>
        <v>0.0763107920953326</v>
      </c>
      <c r="I29" s="8" t="n">
        <f aca="false">IFERROR(INDEX(Fig4c_Loci!$A$11:$A$161,IFERROR(MATCH($A29,Fig4c_Loci!$H$11:$H$161,-1)+1,1)),NA())</f>
        <v>56.5</v>
      </c>
      <c r="J29" s="13" t="n">
        <f aca="false">IFERROR(INDEX(Fig4c_Loci!$K$11:$K$161,IFERROR(MATCH($A29,Fig4c_Loci!$J$11:$J$161,-1)+1,1)),NA())</f>
        <v>0.230116830976477</v>
      </c>
      <c r="K29" s="8" t="n">
        <f aca="false">IFERROR(INDEX(Fig4c_Loci!$A$11:$A$161,IFERROR(MATCH($A29,Fig4c_Loci!$J$11:$J$161,-1)+1,1)),NA())</f>
        <v>58.5</v>
      </c>
    </row>
    <row r="30" customFormat="false" ht="15" hidden="false" customHeight="false" outlineLevel="0" collapsed="false">
      <c r="A30" s="4" t="n">
        <v>1.62</v>
      </c>
      <c r="B30" s="13" t="n">
        <f aca="false">IFERROR(INDEX(Fig4c_Loci!$C$11:$C$161,IFERROR(MATCH($A30,Fig4c_Loci!$B$11:$B$161,-1)+1,1)),NA())</f>
        <v>0.0458057581594675</v>
      </c>
      <c r="C30" s="8" t="n">
        <f aca="false">IFERROR(INDEX(Fig4c_Loci!$A$11:$A$161,IFERROR(MATCH($A30,Fig4c_Loci!$B$11:$B$161,-1)+1,1)),NA())</f>
        <v>50.5</v>
      </c>
      <c r="D30" s="13" t="n">
        <f aca="false">IFERROR(INDEX(Fig4c_Loci!$E$11:$E$161,IFERROR(MATCH($A30,Fig4c_Loci!$D$11:$D$161,-1)+1,1)),NA())</f>
        <v>0.0500063358110517</v>
      </c>
      <c r="E30" s="8" t="n">
        <f aca="false">IFERROR(INDEX(Fig4c_Loci!$A$11:$A$161,IFERROR(MATCH($A30,Fig4c_Loci!$D$11:$D$161,-1)+1,1)),NA())</f>
        <v>51.5</v>
      </c>
      <c r="F30" s="13" t="n">
        <f aca="false">IFERROR(INDEX(Fig4c_Loci!$G$11:$G$161,IFERROR(MATCH($A30,Fig4c_Loci!$F$11:$F$161,-1)+1,1)),NA())</f>
        <v>0.0593769049554644</v>
      </c>
      <c r="G30" s="8" t="n">
        <f aca="false">IFERROR(INDEX(Fig4c_Loci!$A$11:$A$161,IFERROR(MATCH($A30,Fig4c_Loci!$F$11:$F$161,-1)+1,1)),NA())</f>
        <v>53.5</v>
      </c>
      <c r="H30" s="13" t="n">
        <f aca="false">IFERROR(INDEX(Fig4c_Loci!$I$11:$I$161,IFERROR(MATCH($A30,Fig4c_Loci!$H$11:$H$161,-1)+1,1)),NA())</f>
        <v>0.0782386674543735</v>
      </c>
      <c r="I30" s="8" t="n">
        <f aca="false">IFERROR(INDEX(Fig4c_Loci!$A$11:$A$161,IFERROR(MATCH($A30,Fig4c_Loci!$H$11:$H$161,-1)+1,1)),NA())</f>
        <v>55.5</v>
      </c>
      <c r="J30" s="13" t="n">
        <f aca="false">IFERROR(INDEX(Fig4c_Loci!$K$11:$K$161,IFERROR(MATCH($A30,Fig4c_Loci!$J$11:$J$161,-1)+1,1)),NA())</f>
        <v>0.238220229438296</v>
      </c>
      <c r="K30" s="8" t="n">
        <f aca="false">IFERROR(INDEX(Fig4c_Loci!$A$11:$A$161,IFERROR(MATCH($A30,Fig4c_Loci!$J$11:$J$161,-1)+1,1)),NA())</f>
        <v>57.5</v>
      </c>
    </row>
    <row r="31" customFormat="false" ht="15" hidden="false" customHeight="false" outlineLevel="0" collapsed="false">
      <c r="A31" s="4" t="n">
        <v>1.64</v>
      </c>
      <c r="B31" s="13" t="n">
        <f aca="false">IFERROR(INDEX(Fig4c_Loci!$C$11:$C$161,IFERROR(MATCH($A31,Fig4c_Loci!$B$11:$B$161,-1)+1,1)),NA())</f>
        <v>0.0464434164997268</v>
      </c>
      <c r="C31" s="8" t="n">
        <f aca="false">IFERROR(INDEX(Fig4c_Loci!$A$11:$A$161,IFERROR(MATCH($A31,Fig4c_Loci!$B$11:$B$161,-1)+1,1)),NA())</f>
        <v>49.5</v>
      </c>
      <c r="D31" s="13" t="n">
        <f aca="false">IFERROR(INDEX(Fig4c_Loci!$E$11:$E$161,IFERROR(MATCH($A31,Fig4c_Loci!$D$11:$D$161,-1)+1,1)),NA())</f>
        <v>0.0508221289251039</v>
      </c>
      <c r="E31" s="8" t="n">
        <f aca="false">IFERROR(INDEX(Fig4c_Loci!$A$11:$A$161,IFERROR(MATCH($A31,Fig4c_Loci!$D$11:$D$161,-1)+1,1)),NA())</f>
        <v>50.5</v>
      </c>
      <c r="F31" s="13" t="n">
        <f aca="false">IFERROR(INDEX(Fig4c_Loci!$G$11:$G$161,IFERROR(MATCH($A31,Fig4c_Loci!$F$11:$F$161,-1)+1,1)),NA())</f>
        <v>0.0605905085364897</v>
      </c>
      <c r="G31" s="8" t="n">
        <f aca="false">IFERROR(INDEX(Fig4c_Loci!$A$11:$A$161,IFERROR(MATCH($A31,Fig4c_Loci!$F$11:$F$161,-1)+1,1)),NA())</f>
        <v>52.5</v>
      </c>
      <c r="H31" s="13" t="n">
        <f aca="false">IFERROR(INDEX(Fig4c_Loci!$I$11:$I$161,IFERROR(MATCH($A31,Fig4c_Loci!$H$11:$H$161,-1)+1,1)),NA())</f>
        <v>0.0802244041840514</v>
      </c>
      <c r="I31" s="8" t="n">
        <f aca="false">IFERROR(INDEX(Fig4c_Loci!$A$11:$A$161,IFERROR(MATCH($A31,Fig4c_Loci!$H$11:$H$161,-1)+1,1)),NA())</f>
        <v>54.5</v>
      </c>
      <c r="J31" s="13" t="n">
        <f aca="false">IFERROR(INDEX(Fig4c_Loci!$K$11:$K$161,IFERROR(MATCH($A31,Fig4c_Loci!$J$11:$J$161,-1)+1,1)),NA())</f>
        <v>0.246572980064255</v>
      </c>
      <c r="K31" s="8" t="n">
        <f aca="false">IFERROR(INDEX(Fig4c_Loci!$A$11:$A$161,IFERROR(MATCH($A31,Fig4c_Loci!$J$11:$J$161,-1)+1,1)),NA())</f>
        <v>56.5</v>
      </c>
    </row>
    <row r="32" customFormat="false" ht="15" hidden="false" customHeight="false" outlineLevel="0" collapsed="false">
      <c r="A32" s="4" t="n">
        <v>1.66</v>
      </c>
      <c r="B32" s="13" t="n">
        <f aca="false">IFERROR(INDEX(Fig4c_Loci!$C$11:$C$161,IFERROR(MATCH($A32,Fig4c_Loci!$B$11:$B$161,-1)+1,1)),NA())</f>
        <v>0.0470958385718591</v>
      </c>
      <c r="C32" s="8" t="n">
        <f aca="false">IFERROR(INDEX(Fig4c_Loci!$A$11:$A$161,IFERROR(MATCH($A32,Fig4c_Loci!$B$11:$B$161,-1)+1,1)),NA())</f>
        <v>48.5</v>
      </c>
      <c r="D32" s="13" t="n">
        <f aca="false">IFERROR(INDEX(Fig4c_Loci!$E$11:$E$161,IFERROR(MATCH($A32,Fig4c_Loci!$D$11:$D$161,-1)+1,1)),NA())</f>
        <v>0.0516590710512101</v>
      </c>
      <c r="E32" s="8" t="n">
        <f aca="false">IFERROR(INDEX(Fig4c_Loci!$A$11:$A$161,IFERROR(MATCH($A32,Fig4c_Loci!$D$11:$D$161,-1)+1,1)),NA())</f>
        <v>49.5</v>
      </c>
      <c r="F32" s="13" t="n">
        <f aca="false">IFERROR(INDEX(Fig4c_Loci!$G$11:$G$161,IFERROR(MATCH($A32,Fig4c_Loci!$F$11:$F$161,-1)+1,1)),NA())</f>
        <v>0.0618392860031343</v>
      </c>
      <c r="G32" s="8" t="n">
        <f aca="false">IFERROR(INDEX(Fig4c_Loci!$A$11:$A$161,IFERROR(MATCH($A32,Fig4c_Loci!$F$11:$F$161,-1)+1,1)),NA())</f>
        <v>51.5</v>
      </c>
      <c r="H32" s="13" t="n">
        <f aca="false">IFERROR(INDEX(Fig4c_Loci!$I$11:$I$161,IFERROR(MATCH($A32,Fig4c_Loci!$H$11:$H$161,-1)+1,1)),NA())</f>
        <v>0.0822706392314453</v>
      </c>
      <c r="I32" s="8" t="n">
        <f aca="false">IFERROR(INDEX(Fig4c_Loci!$A$11:$A$161,IFERROR(MATCH($A32,Fig4c_Loci!$H$11:$H$161,-1)+1,1)),NA())</f>
        <v>53.5</v>
      </c>
      <c r="J32" s="13" t="n">
        <f aca="false">IFERROR(INDEX(Fig4c_Loci!$K$11:$K$161,IFERROR(MATCH($A32,Fig4c_Loci!$J$11:$J$161,-1)+1,1)),NA())</f>
        <v>0.250846473098926</v>
      </c>
      <c r="K32" s="8" t="n">
        <f aca="false">IFERROR(INDEX(Fig4c_Loci!$A$11:$A$161,IFERROR(MATCH($A32,Fig4c_Loci!$J$11:$J$161,-1)+1,1)),NA())</f>
        <v>56</v>
      </c>
    </row>
    <row r="33" customFormat="false" ht="15" hidden="false" customHeight="false" outlineLevel="0" collapsed="false">
      <c r="A33" s="4" t="n">
        <v>1.68</v>
      </c>
      <c r="B33" s="13" t="n">
        <f aca="false">IFERROR(INDEX(Fig4c_Loci!$C$11:$C$161,IFERROR(MATCH($A33,Fig4c_Loci!$B$11:$B$161,-1)+1,1)),NA())</f>
        <v>0.0477635422887402</v>
      </c>
      <c r="C33" s="8" t="n">
        <f aca="false">IFERROR(INDEX(Fig4c_Loci!$A$11:$A$161,IFERROR(MATCH($A33,Fig4c_Loci!$B$11:$B$161,-1)+1,1)),NA())</f>
        <v>47.5</v>
      </c>
      <c r="D33" s="13" t="n">
        <f aca="false">IFERROR(INDEX(Fig4c_Loci!$E$11:$E$161,IFERROR(MATCH($A33,Fig4c_Loci!$D$11:$D$161,-1)+1,1)),NA())</f>
        <v>0.0525179939597812</v>
      </c>
      <c r="E33" s="8" t="n">
        <f aca="false">IFERROR(INDEX(Fig4c_Loci!$A$11:$A$161,IFERROR(MATCH($A33,Fig4c_Loci!$D$11:$D$161,-1)+1,1)),NA())</f>
        <v>48.5</v>
      </c>
      <c r="F33" s="13" t="n">
        <f aca="false">IFERROR(INDEX(Fig4c_Loci!$G$11:$G$161,IFERROR(MATCH($A33,Fig4c_Loci!$F$11:$F$161,-1)+1,1)),NA())</f>
        <v>0.0631247856411918</v>
      </c>
      <c r="G33" s="8" t="n">
        <f aca="false">IFERROR(INDEX(Fig4c_Loci!$A$11:$A$161,IFERROR(MATCH($A33,Fig4c_Loci!$F$11:$F$161,-1)+1,1)),NA())</f>
        <v>50.5</v>
      </c>
      <c r="H33" s="13" t="n">
        <f aca="false">IFERROR(INDEX(Fig4c_Loci!$I$11:$I$161,IFERROR(MATCH($A33,Fig4c_Loci!$H$11:$H$161,-1)+1,1)),NA())</f>
        <v>0.0843801722454519</v>
      </c>
      <c r="I33" s="8" t="n">
        <f aca="false">IFERROR(INDEX(Fig4c_Loci!$A$11:$A$161,IFERROR(MATCH($A33,Fig4c_Loci!$H$11:$H$161,-1)+1,1)),NA())</f>
        <v>52.5</v>
      </c>
      <c r="J33" s="13" t="n">
        <f aca="false">IFERROR(INDEX(Fig4c_Loci!$K$11:$K$161,IFERROR(MATCH($A33,Fig4c_Loci!$J$11:$J$161,-1)+1,1)),NA())</f>
        <v>0.259595312425338</v>
      </c>
      <c r="K33" s="8" t="n">
        <f aca="false">IFERROR(INDEX(Fig4c_Loci!$A$11:$A$161,IFERROR(MATCH($A33,Fig4c_Loci!$J$11:$J$161,-1)+1,1)),NA())</f>
        <v>55</v>
      </c>
    </row>
    <row r="34" customFormat="false" ht="15" hidden="false" customHeight="false" outlineLevel="0" collapsed="false">
      <c r="A34" s="4" t="n">
        <v>1.7</v>
      </c>
      <c r="B34" s="13" t="n">
        <f aca="false">IFERROR(INDEX(Fig4c_Loci!$C$11:$C$161,IFERROR(MATCH($A34,Fig4c_Loci!$B$11:$B$161,-1)+1,1)),NA())</f>
        <v>0.0484470700740839</v>
      </c>
      <c r="C34" s="8" t="n">
        <f aca="false">IFERROR(INDEX(Fig4c_Loci!$A$11:$A$161,IFERROR(MATCH($A34,Fig4c_Loci!$B$11:$B$161,-1)+1,1)),NA())</f>
        <v>46.5</v>
      </c>
      <c r="D34" s="13" t="n">
        <f aca="false">IFERROR(INDEX(Fig4c_Loci!$E$11:$E$161,IFERROR(MATCH($A34,Fig4c_Loci!$D$11:$D$161,-1)+1,1)),NA())</f>
        <v>0.0533997736170042</v>
      </c>
      <c r="E34" s="8" t="n">
        <f aca="false">IFERROR(INDEX(Fig4c_Loci!$A$11:$A$161,IFERROR(MATCH($A34,Fig4c_Loci!$D$11:$D$161,-1)+1,1)),NA())</f>
        <v>47.5</v>
      </c>
      <c r="F34" s="13" t="n">
        <f aca="false">IFERROR(INDEX(Fig4c_Loci!$G$11:$G$161,IFERROR(MATCH($A34,Fig4c_Loci!$F$11:$F$161,-1)+1,1)),NA())</f>
        <v>0.064448647958234</v>
      </c>
      <c r="G34" s="8" t="n">
        <f aca="false">IFERROR(INDEX(Fig4c_Loci!$A$11:$A$161,IFERROR(MATCH($A34,Fig4c_Loci!$F$11:$F$161,-1)+1,1)),NA())</f>
        <v>49.5</v>
      </c>
      <c r="H34" s="13" t="n">
        <f aca="false">IFERROR(INDEX(Fig4c_Loci!$I$11:$I$161,IFERROR(MATCH($A34,Fig4c_Loci!$H$11:$H$161,-1)+1,1)),NA())</f>
        <v>0.0865559783219266</v>
      </c>
      <c r="I34" s="8" t="n">
        <f aca="false">IFERROR(INDEX(Fig4c_Loci!$A$11:$A$161,IFERROR(MATCH($A34,Fig4c_Loci!$H$11:$H$161,-1)+1,1)),NA())</f>
        <v>51.5</v>
      </c>
      <c r="J34" s="13" t="n">
        <f aca="false">IFERROR(INDEX(Fig4c_Loci!$K$11:$K$161,IFERROR(MATCH($A34,Fig4c_Loci!$J$11:$J$161,-1)+1,1)),NA())</f>
        <v>0.268624013085144</v>
      </c>
      <c r="K34" s="8" t="n">
        <f aca="false">IFERROR(INDEX(Fig4c_Loci!$A$11:$A$161,IFERROR(MATCH($A34,Fig4c_Loci!$J$11:$J$161,-1)+1,1)),NA())</f>
        <v>54</v>
      </c>
    </row>
    <row r="35" customFormat="false" ht="15" hidden="false" customHeight="false" outlineLevel="0" collapsed="false">
      <c r="A35" s="4" t="n">
        <v>1.72</v>
      </c>
      <c r="B35" s="13" t="n">
        <f aca="false">IFERROR(INDEX(Fig4c_Loci!$C$11:$C$161,IFERROR(MATCH($A35,Fig4c_Loci!$B$11:$B$161,-1)+1,1)),NA())</f>
        <v>0.0491469903298084</v>
      </c>
      <c r="C35" s="8" t="n">
        <f aca="false">IFERROR(INDEX(Fig4c_Loci!$A$11:$A$161,IFERROR(MATCH($A35,Fig4c_Loci!$B$11:$B$161,-1)+1,1)),NA())</f>
        <v>45.5</v>
      </c>
      <c r="D35" s="13" t="n">
        <f aca="false">IFERROR(INDEX(Fig4c_Loci!$E$11:$E$161,IFERROR(MATCH($A35,Fig4c_Loci!$D$11:$D$161,-1)+1,1)),NA())</f>
        <v>0.0543053331597653</v>
      </c>
      <c r="E35" s="8" t="n">
        <f aca="false">IFERROR(INDEX(Fig4c_Loci!$A$11:$A$161,IFERROR(MATCH($A35,Fig4c_Loci!$D$11:$D$161,-1)+1,1)),NA())</f>
        <v>46.5</v>
      </c>
      <c r="F35" s="13" t="n">
        <f aca="false">IFERROR(INDEX(Fig4c_Loci!$G$11:$G$161,IFERROR(MATCH($A35,Fig4c_Loci!$F$11:$F$161,-1)+1,1)),NA())</f>
        <v>0.0658126126537517</v>
      </c>
      <c r="G35" s="8" t="n">
        <f aca="false">IFERROR(INDEX(Fig4c_Loci!$A$11:$A$161,IFERROR(MATCH($A35,Fig4c_Loci!$F$11:$F$161,-1)+1,1)),NA())</f>
        <v>48.5</v>
      </c>
      <c r="H35" s="13" t="n">
        <f aca="false">IFERROR(INDEX(Fig4c_Loci!$I$11:$I$161,IFERROR(MATCH($A35,Fig4c_Loci!$H$11:$H$161,-1)+1,1)),NA())</f>
        <v>0.0888012219659517</v>
      </c>
      <c r="I35" s="8" t="n">
        <f aca="false">IFERROR(INDEX(Fig4c_Loci!$A$11:$A$161,IFERROR(MATCH($A35,Fig4c_Loci!$H$11:$H$161,-1)+1,1)),NA())</f>
        <v>50.5</v>
      </c>
      <c r="J35" s="13" t="n">
        <f aca="false">IFERROR(INDEX(Fig4c_Loci!$K$11:$K$161,IFERROR(MATCH($A35,Fig4c_Loci!$J$11:$J$161,-1)+1,1)),NA())</f>
        <v>0.277946172904083</v>
      </c>
      <c r="K35" s="8" t="n">
        <f aca="false">IFERROR(INDEX(Fig4c_Loci!$A$11:$A$161,IFERROR(MATCH($A35,Fig4c_Loci!$J$11:$J$161,-1)+1,1)),NA())</f>
        <v>53</v>
      </c>
    </row>
    <row r="36" customFormat="false" ht="15" hidden="false" customHeight="false" outlineLevel="0" collapsed="false">
      <c r="A36" s="4" t="n">
        <v>1.74</v>
      </c>
      <c r="B36" s="13" t="n">
        <f aca="false">IFERROR(INDEX(Fig4c_Loci!$C$11:$C$161,IFERROR(MATCH($A36,Fig4c_Loci!$B$11:$B$161,-1)+1,1)),NA())</f>
        <v>0.0498638990100944</v>
      </c>
      <c r="C36" s="8" t="n">
        <f aca="false">IFERROR(INDEX(Fig4c_Loci!$A$11:$A$161,IFERROR(MATCH($A36,Fig4c_Loci!$B$11:$B$161,-1)+1,1)),NA())</f>
        <v>44.5</v>
      </c>
      <c r="D36" s="13" t="n">
        <f aca="false">IFERROR(INDEX(Fig4c_Loci!$E$11:$E$161,IFERROR(MATCH($A36,Fig4c_Loci!$D$11:$D$161,-1)+1,1)),NA())</f>
        <v>0.0552356461141508</v>
      </c>
      <c r="E36" s="8" t="n">
        <f aca="false">IFERROR(INDEX(Fig4c_Loci!$A$11:$A$161,IFERROR(MATCH($A36,Fig4c_Loci!$D$11:$D$161,-1)+1,1)),NA())</f>
        <v>45.5</v>
      </c>
      <c r="F36" s="13" t="n">
        <f aca="false">IFERROR(INDEX(Fig4c_Loci!$G$11:$G$161,IFERROR(MATCH($A36,Fig4c_Loci!$F$11:$F$161,-1)+1,1)),NA())</f>
        <v>0.0672185262311627</v>
      </c>
      <c r="G36" s="8" t="n">
        <f aca="false">IFERROR(INDEX(Fig4c_Loci!$A$11:$A$161,IFERROR(MATCH($A36,Fig4c_Loci!$F$11:$F$161,-1)+1,1)),NA())</f>
        <v>47.5</v>
      </c>
      <c r="H36" s="13" t="n">
        <f aca="false">IFERROR(INDEX(Fig4c_Loci!$I$11:$I$161,IFERROR(MATCH($A36,Fig4c_Loci!$H$11:$H$161,-1)+1,1)),NA())</f>
        <v>0.0899509273144465</v>
      </c>
      <c r="I36" s="8" t="n">
        <f aca="false">IFERROR(INDEX(Fig4c_Loci!$A$11:$A$161,IFERROR(MATCH($A36,Fig4c_Loci!$H$11:$H$161,-1)+1,1)),NA())</f>
        <v>50</v>
      </c>
      <c r="J36" s="13" t="n">
        <f aca="false">IFERROR(INDEX(Fig4c_Loci!$K$11:$K$161,IFERROR(MATCH($A36,Fig4c_Loci!$J$11:$J$161,-1)+1,1)),NA())</f>
        <v>0.282721792155417</v>
      </c>
      <c r="K36" s="8" t="n">
        <f aca="false">IFERROR(INDEX(Fig4c_Loci!$A$11:$A$161,IFERROR(MATCH($A36,Fig4c_Loci!$J$11:$J$161,-1)+1,1)),NA())</f>
        <v>52.5</v>
      </c>
    </row>
    <row r="37" customFormat="false" ht="15" hidden="false" customHeight="false" outlineLevel="0" collapsed="false">
      <c r="A37" s="4" t="n">
        <v>1.76</v>
      </c>
      <c r="B37" s="13" t="n">
        <f aca="false">IFERROR(INDEX(Fig4c_Loci!$C$11:$C$161,IFERROR(MATCH($A37,Fig4c_Loci!$B$11:$B$161,-1)+1,1)),NA())</f>
        <v>0.0502289181922929</v>
      </c>
      <c r="C37" s="8" t="n">
        <f aca="false">IFERROR(INDEX(Fig4c_Loci!$A$11:$A$161,IFERROR(MATCH($A37,Fig4c_Loci!$B$11:$B$161,-1)+1,1)),NA())</f>
        <v>44</v>
      </c>
      <c r="D37" s="13" t="n">
        <f aca="false">IFERROR(INDEX(Fig4c_Loci!$E$11:$E$161,IFERROR(MATCH($A37,Fig4c_Loci!$D$11:$D$161,-1)+1,1)),NA())</f>
        <v>0.0561917398811155</v>
      </c>
      <c r="E37" s="8" t="n">
        <f aca="false">IFERROR(INDEX(Fig4c_Loci!$A$11:$A$161,IFERROR(MATCH($A37,Fig4c_Loci!$D$11:$D$161,-1)+1,1)),NA())</f>
        <v>44.5</v>
      </c>
      <c r="F37" s="13" t="n">
        <f aca="false">IFERROR(INDEX(Fig4c_Loci!$G$11:$G$161,IFERROR(MATCH($A37,Fig4c_Loci!$F$11:$F$161,-1)+1,1)),NA())</f>
        <v>0.0686683503217227</v>
      </c>
      <c r="G37" s="8" t="n">
        <f aca="false">IFERROR(INDEX(Fig4c_Loci!$A$11:$A$161,IFERROR(MATCH($A37,Fig4c_Loci!$F$11:$F$161,-1)+1,1)),NA())</f>
        <v>46.5</v>
      </c>
      <c r="H37" s="13" t="n">
        <f aca="false">IFERROR(INDEX(Fig4c_Loci!$I$11:$I$161,IFERROR(MATCH($A37,Fig4c_Loci!$H$11:$H$161,-1)+1,1)),NA())</f>
        <v>0.0923067131524515</v>
      </c>
      <c r="I37" s="8" t="n">
        <f aca="false">IFERROR(INDEX(Fig4c_Loci!$A$11:$A$161,IFERROR(MATCH($A37,Fig4c_Loci!$H$11:$H$161,-1)+1,1)),NA())</f>
        <v>49</v>
      </c>
      <c r="J37" s="13" t="n">
        <f aca="false">IFERROR(INDEX(Fig4c_Loci!$K$11:$K$161,IFERROR(MATCH($A37,Fig4c_Loci!$J$11:$J$161,-1)+1,1)),NA())</f>
        <v>0.292511615606618</v>
      </c>
      <c r="K37" s="8" t="n">
        <f aca="false">IFERROR(INDEX(Fig4c_Loci!$A$11:$A$161,IFERROR(MATCH($A37,Fig4c_Loci!$J$11:$J$161,-1)+1,1)),NA())</f>
        <v>51.5</v>
      </c>
    </row>
    <row r="38" customFormat="false" ht="15" hidden="false" customHeight="false" outlineLevel="0" collapsed="false">
      <c r="A38" s="4" t="n">
        <v>1.78</v>
      </c>
      <c r="B38" s="13" t="n">
        <f aca="false">IFERROR(INDEX(Fig4c_Loci!$C$11:$C$161,IFERROR(MATCH($A38,Fig4c_Loci!$B$11:$B$161,-1)+1,1)),NA())</f>
        <v>0.0509724913836192</v>
      </c>
      <c r="C38" s="8" t="n">
        <f aca="false">IFERROR(INDEX(Fig4c_Loci!$A$11:$A$161,IFERROR(MATCH($A38,Fig4c_Loci!$B$11:$B$161,-1)+1,1)),NA())</f>
        <v>43</v>
      </c>
      <c r="D38" s="13" t="n">
        <f aca="false">IFERROR(INDEX(Fig4c_Loci!$E$11:$E$161,IFERROR(MATCH($A38,Fig4c_Loci!$D$11:$D$161,-1)+1,1)),NA())</f>
        <v>0.0566797912870507</v>
      </c>
      <c r="E38" s="8" t="n">
        <f aca="false">IFERROR(INDEX(Fig4c_Loci!$A$11:$A$161,IFERROR(MATCH($A38,Fig4c_Loci!$D$11:$D$161,-1)+1,1)),NA())</f>
        <v>44</v>
      </c>
      <c r="F38" s="13" t="n">
        <f aca="false">IFERROR(INDEX(Fig4c_Loci!$G$11:$G$161,IFERROR(MATCH($A38,Fig4c_Loci!$F$11:$F$161,-1)+1,1)),NA())</f>
        <v>0.0694103755249258</v>
      </c>
      <c r="G38" s="8" t="n">
        <f aca="false">IFERROR(INDEX(Fig4c_Loci!$A$11:$A$161,IFERROR(MATCH($A38,Fig4c_Loci!$F$11:$F$161,-1)+1,1)),NA())</f>
        <v>46</v>
      </c>
      <c r="H38" s="13" t="n">
        <f aca="false">IFERROR(INDEX(Fig4c_Loci!$I$11:$I$161,IFERROR(MATCH($A38,Fig4c_Loci!$H$11:$H$161,-1)+1,1)),NA())</f>
        <v>0.0947407807662824</v>
      </c>
      <c r="I38" s="8" t="n">
        <f aca="false">IFERROR(INDEX(Fig4c_Loci!$A$11:$A$161,IFERROR(MATCH($A38,Fig4c_Loci!$H$11:$H$161,-1)+1,1)),NA())</f>
        <v>48</v>
      </c>
      <c r="J38" s="13" t="n">
        <f aca="false">IFERROR(INDEX(Fig4c_Loci!$K$11:$K$161,IFERROR(MATCH($A38,Fig4c_Loci!$J$11:$J$161,-1)+1,1)),NA())</f>
        <v>0.302632976136025</v>
      </c>
      <c r="K38" s="8" t="n">
        <f aca="false">IFERROR(INDEX(Fig4c_Loci!$A$11:$A$161,IFERROR(MATCH($A38,Fig4c_Loci!$J$11:$J$161,-1)+1,1)),NA())</f>
        <v>50.5</v>
      </c>
    </row>
    <row r="39" customFormat="false" ht="15" hidden="false" customHeight="false" outlineLevel="0" collapsed="false">
      <c r="A39" s="4" t="n">
        <v>1.8</v>
      </c>
      <c r="B39" s="13" t="n">
        <f aca="false">IFERROR(INDEX(Fig4c_Loci!$C$11:$C$161,IFERROR(MATCH($A39,Fig4c_Loci!$B$11:$B$161,-1)+1,1)),NA())</f>
        <v>0.0517346748287538</v>
      </c>
      <c r="C39" s="8" t="n">
        <f aca="false">IFERROR(INDEX(Fig4c_Loci!$A$11:$A$161,IFERROR(MATCH($A39,Fig4c_Loci!$B$11:$B$161,-1)+1,1)),NA())</f>
        <v>42</v>
      </c>
      <c r="D39" s="13" t="n">
        <f aca="false">IFERROR(INDEX(Fig4c_Loci!$E$11:$E$161,IFERROR(MATCH($A39,Fig4c_Loci!$D$11:$D$161,-1)+1,1)),NA())</f>
        <v>0.0576766098797546</v>
      </c>
      <c r="E39" s="8" t="n">
        <f aca="false">IFERROR(INDEX(Fig4c_Loci!$A$11:$A$161,IFERROR(MATCH($A39,Fig4c_Loci!$D$11:$D$161,-1)+1,1)),NA())</f>
        <v>43</v>
      </c>
      <c r="F39" s="13" t="n">
        <f aca="false">IFERROR(INDEX(Fig4c_Loci!$G$11:$G$161,IFERROR(MATCH($A39,Fig4c_Loci!$F$11:$F$161,-1)+1,1)),NA())</f>
        <v>0.0709300179312379</v>
      </c>
      <c r="G39" s="8" t="n">
        <f aca="false">IFERROR(INDEX(Fig4c_Loci!$A$11:$A$161,IFERROR(MATCH($A39,Fig4c_Loci!$F$11:$F$161,-1)+1,1)),NA())</f>
        <v>45</v>
      </c>
      <c r="H39" s="13" t="n">
        <f aca="false">IFERROR(INDEX(Fig4c_Loci!$I$11:$I$161,IFERROR(MATCH($A39,Fig4c_Loci!$H$11:$H$161,-1)+1,1)),NA())</f>
        <v>0.0959883969063047</v>
      </c>
      <c r="I39" s="8" t="n">
        <f aca="false">IFERROR(INDEX(Fig4c_Loci!$A$11:$A$161,IFERROR(MATCH($A39,Fig4c_Loci!$H$11:$H$161,-1)+1,1)),NA())</f>
        <v>47.5</v>
      </c>
      <c r="J39" s="13" t="n">
        <f aca="false">IFERROR(INDEX(Fig4c_Loci!$K$11:$K$161,IFERROR(MATCH($A39,Fig4c_Loci!$J$11:$J$161,-1)+1,1)),NA())</f>
        <v>0.307823273807085</v>
      </c>
      <c r="K39" s="8" t="n">
        <f aca="false">IFERROR(INDEX(Fig4c_Loci!$A$11:$A$161,IFERROR(MATCH($A39,Fig4c_Loci!$J$11:$J$161,-1)+1,1)),NA())</f>
        <v>50</v>
      </c>
    </row>
    <row r="40" customFormat="false" ht="15" hidden="false" customHeight="false" outlineLevel="0" collapsed="false">
      <c r="A40" s="4" t="n">
        <v>1.82</v>
      </c>
      <c r="B40" s="13" t="n">
        <f aca="false">IFERROR(INDEX(Fig4c_Loci!$C$11:$C$161,IFERROR(MATCH($A40,Fig4c_Loci!$B$11:$B$161,-1)+1,1)),NA())</f>
        <v>0.0525161750767907</v>
      </c>
      <c r="C40" s="8" t="n">
        <f aca="false">IFERROR(INDEX(Fig4c_Loci!$A$11:$A$161,IFERROR(MATCH($A40,Fig4c_Loci!$B$11:$B$161,-1)+1,1)),NA())</f>
        <v>41</v>
      </c>
      <c r="D40" s="13" t="n">
        <f aca="false">IFERROR(INDEX(Fig4c_Loci!$E$11:$E$161,IFERROR(MATCH($A40,Fig4c_Loci!$D$11:$D$161,-1)+1,1)),NA())</f>
        <v>0.0587020390920501</v>
      </c>
      <c r="E40" s="8" t="n">
        <f aca="false">IFERROR(INDEX(Fig4c_Loci!$A$11:$A$161,IFERROR(MATCH($A40,Fig4c_Loci!$D$11:$D$161,-1)+1,1)),NA())</f>
        <v>42</v>
      </c>
      <c r="F40" s="13" t="n">
        <f aca="false">IFERROR(INDEX(Fig4c_Loci!$G$11:$G$161,IFERROR(MATCH($A40,Fig4c_Loci!$F$11:$F$161,-1)+1,1)),NA())</f>
        <v>0.0724990406183082</v>
      </c>
      <c r="G40" s="8" t="n">
        <f aca="false">IFERROR(INDEX(Fig4c_Loci!$A$11:$A$161,IFERROR(MATCH($A40,Fig4c_Loci!$F$11:$F$161,-1)+1,1)),NA())</f>
        <v>44</v>
      </c>
      <c r="H40" s="13" t="n">
        <f aca="false">IFERROR(INDEX(Fig4c_Loci!$I$11:$I$161,IFERROR(MATCH($A40,Fig4c_Loci!$H$11:$H$161,-1)+1,1)),NA())</f>
        <v>0.0985473931468374</v>
      </c>
      <c r="I40" s="8" t="n">
        <f aca="false">IFERROR(INDEX(Fig4c_Loci!$A$11:$A$161,IFERROR(MATCH($A40,Fig4c_Loci!$H$11:$H$161,-1)+1,1)),NA())</f>
        <v>46.5</v>
      </c>
      <c r="J40" s="13" t="n">
        <f aca="false">IFERROR(INDEX(Fig4c_Loci!$K$11:$K$161,IFERROR(MATCH($A40,Fig4c_Loci!$J$11:$J$161,-1)+1,1)),NA())</f>
        <v>0.318474327350883</v>
      </c>
      <c r="K40" s="8" t="n">
        <f aca="false">IFERROR(INDEX(Fig4c_Loci!$A$11:$A$161,IFERROR(MATCH($A40,Fig4c_Loci!$J$11:$J$161,-1)+1,1)),NA())</f>
        <v>49</v>
      </c>
    </row>
    <row r="41" customFormat="false" ht="15" hidden="false" customHeight="false" outlineLevel="0" collapsed="false">
      <c r="A41" s="4" t="n">
        <v>1.84</v>
      </c>
      <c r="B41" s="13" t="n">
        <f aca="false">IFERROR(INDEX(Fig4c_Loci!$C$11:$C$161,IFERROR(MATCH($A41,Fig4c_Loci!$B$11:$B$161,-1)+1,1)),NA())</f>
        <v>0.0533177349009065</v>
      </c>
      <c r="C41" s="8" t="n">
        <f aca="false">IFERROR(INDEX(Fig4c_Loci!$A$11:$A$161,IFERROR(MATCH($A41,Fig4c_Loci!$B$11:$B$161,-1)+1,1)),NA())</f>
        <v>40</v>
      </c>
      <c r="D41" s="13" t="n">
        <f aca="false">IFERROR(INDEX(Fig4c_Loci!$E$11:$E$161,IFERROR(MATCH($A41,Fig4c_Loci!$D$11:$D$161,-1)+1,1)),NA())</f>
        <v>0.0597573268455221</v>
      </c>
      <c r="E41" s="8" t="n">
        <f aca="false">IFERROR(INDEX(Fig4c_Loci!$A$11:$A$161,IFERROR(MATCH($A41,Fig4c_Loci!$D$11:$D$161,-1)+1,1)),NA())</f>
        <v>41</v>
      </c>
      <c r="F41" s="13" t="n">
        <f aca="false">IFERROR(INDEX(Fig4c_Loci!$G$11:$G$161,IFERROR(MATCH($A41,Fig4c_Loci!$F$11:$F$161,-1)+1,1)),NA())</f>
        <v>0.0733028265713614</v>
      </c>
      <c r="G41" s="8" t="n">
        <f aca="false">IFERROR(INDEX(Fig4c_Loci!$A$11:$A$161,IFERROR(MATCH($A41,Fig4c_Loci!$F$11:$F$161,-1)+1,1)),NA())</f>
        <v>43.5</v>
      </c>
      <c r="H41" s="13" t="n">
        <f aca="false">IFERROR(INDEX(Fig4c_Loci!$I$11:$I$161,IFERROR(MATCH($A41,Fig4c_Loci!$H$11:$H$161,-1)+1,1)),NA())</f>
        <v>0.101195083484257</v>
      </c>
      <c r="I41" s="8" t="n">
        <f aca="false">IFERROR(INDEX(Fig4c_Loci!$A$11:$A$161,IFERROR(MATCH($A41,Fig4c_Loci!$H$11:$H$161,-1)+1,1)),NA())</f>
        <v>45.5</v>
      </c>
      <c r="J41" s="13" t="n">
        <f aca="false">IFERROR(INDEX(Fig4c_Loci!$K$11:$K$161,IFERROR(MATCH($A41,Fig4c_Loci!$J$11:$J$161,-1)+1,1)),NA())</f>
        <v>0.323939807848268</v>
      </c>
      <c r="K41" s="8" t="n">
        <f aca="false">IFERROR(INDEX(Fig4c_Loci!$A$11:$A$161,IFERROR(MATCH($A41,Fig4c_Loci!$J$11:$J$161,-1)+1,1)),NA())</f>
        <v>48.5</v>
      </c>
    </row>
    <row r="42" customFormat="false" ht="15" hidden="false" customHeight="false" outlineLevel="0" collapsed="false">
      <c r="A42" s="4" t="n">
        <v>1.86</v>
      </c>
      <c r="B42" s="13" t="n">
        <f aca="false">IFERROR(INDEX(Fig4c_Loci!$C$11:$C$161,IFERROR(MATCH($A42,Fig4c_Loci!$B$11:$B$161,-1)+1,1)),NA())</f>
        <v>0.0537262797506176</v>
      </c>
      <c r="C42" s="8" t="n">
        <f aca="false">IFERROR(INDEX(Fig4c_Loci!$A$11:$A$161,IFERROR(MATCH($A42,Fig4c_Loci!$B$11:$B$161,-1)+1,1)),NA())</f>
        <v>39.5</v>
      </c>
      <c r="D42" s="13" t="n">
        <f aca="false">IFERROR(INDEX(Fig4c_Loci!$E$11:$E$161,IFERROR(MATCH($A42,Fig4c_Loci!$D$11:$D$161,-1)+1,1)),NA())</f>
        <v>0.0602965776404938</v>
      </c>
      <c r="E42" s="8" t="n">
        <f aca="false">IFERROR(INDEX(Fig4c_Loci!$A$11:$A$161,IFERROR(MATCH($A42,Fig4c_Loci!$D$11:$D$161,-1)+1,1)),NA())</f>
        <v>40.5</v>
      </c>
      <c r="F42" s="13" t="n">
        <f aca="false">IFERROR(INDEX(Fig4c_Loci!$G$11:$G$161,IFERROR(MATCH($A42,Fig4c_Loci!$F$11:$F$161,-1)+1,1)),NA())</f>
        <v>0.074950549794728</v>
      </c>
      <c r="G42" s="8" t="n">
        <f aca="false">IFERROR(INDEX(Fig4c_Loci!$A$11:$A$161,IFERROR(MATCH($A42,Fig4c_Loci!$F$11:$F$161,-1)+1,1)),NA())</f>
        <v>42.5</v>
      </c>
      <c r="H42" s="13" t="n">
        <f aca="false">IFERROR(INDEX(Fig4c_Loci!$I$11:$I$161,IFERROR(MATCH($A42,Fig4c_Loci!$H$11:$H$161,-1)+1,1)),NA())</f>
        <v>0.102553639371562</v>
      </c>
      <c r="I42" s="8" t="n">
        <f aca="false">IFERROR(INDEX(Fig4c_Loci!$A$11:$A$161,IFERROR(MATCH($A42,Fig4c_Loci!$H$11:$H$161,-1)+1,1)),NA())</f>
        <v>45</v>
      </c>
      <c r="J42" s="13" t="n">
        <f aca="false">IFERROR(INDEX(Fig4c_Loci!$K$11:$K$161,IFERROR(MATCH($A42,Fig4c_Loci!$J$11:$J$161,-1)+1,1)),NA())</f>
        <v>0.335163117857329</v>
      </c>
      <c r="K42" s="8" t="n">
        <f aca="false">IFERROR(INDEX(Fig4c_Loci!$A$11:$A$161,IFERROR(MATCH($A42,Fig4c_Loci!$J$11:$J$161,-1)+1,1)),NA())</f>
        <v>47.5</v>
      </c>
    </row>
    <row r="43" customFormat="false" ht="15" hidden="false" customHeight="false" outlineLevel="0" collapsed="false">
      <c r="A43" s="4" t="n">
        <v>1.88</v>
      </c>
      <c r="B43" s="13" t="n">
        <f aca="false">IFERROR(INDEX(Fig4c_Loci!$C$11:$C$161,IFERROR(MATCH($A43,Fig4c_Loci!$B$11:$B$161,-1)+1,1)),NA())</f>
        <v>0.0545594067112274</v>
      </c>
      <c r="C43" s="8" t="n">
        <f aca="false">IFERROR(INDEX(Fig4c_Loci!$A$11:$A$161,IFERROR(MATCH($A43,Fig4c_Loci!$B$11:$B$161,-1)+1,1)),NA())</f>
        <v>38.5</v>
      </c>
      <c r="D43" s="13" t="n">
        <f aca="false">IFERROR(INDEX(Fig4c_Loci!$E$11:$E$161,IFERROR(MATCH($A43,Fig4c_Loci!$D$11:$D$161,-1)+1,1)),NA())</f>
        <v>0.0613991556510968</v>
      </c>
      <c r="E43" s="8" t="n">
        <f aca="false">IFERROR(INDEX(Fig4c_Loci!$A$11:$A$161,IFERROR(MATCH($A43,Fig4c_Loci!$D$11:$D$161,-1)+1,1)),NA())</f>
        <v>39.5</v>
      </c>
      <c r="F43" s="13" t="n">
        <f aca="false">IFERROR(INDEX(Fig4c_Loci!$G$11:$G$161,IFERROR(MATCH($A43,Fig4c_Loci!$F$11:$F$161,-1)+1,1)),NA())</f>
        <v>0.0766540706265707</v>
      </c>
      <c r="G43" s="8" t="n">
        <f aca="false">IFERROR(INDEX(Fig4c_Loci!$A$11:$A$161,IFERROR(MATCH($A43,Fig4c_Loci!$F$11:$F$161,-1)+1,1)),NA())</f>
        <v>41.5</v>
      </c>
      <c r="H43" s="13" t="n">
        <f aca="false">IFERROR(INDEX(Fig4c_Loci!$I$11:$I$161,IFERROR(MATCH($A43,Fig4c_Loci!$H$11:$H$161,-1)+1,1)),NA())</f>
        <v>0.105343253693122</v>
      </c>
      <c r="I43" s="8" t="n">
        <f aca="false">IFERROR(INDEX(Fig4c_Loci!$A$11:$A$161,IFERROR(MATCH($A43,Fig4c_Loci!$H$11:$H$161,-1)+1,1)),NA())</f>
        <v>44</v>
      </c>
      <c r="J43" s="13" t="n">
        <f aca="false">IFERROR(INDEX(Fig4c_Loci!$K$11:$K$161,IFERROR(MATCH($A43,Fig4c_Loci!$J$11:$J$161,-1)+1,1)),NA())</f>
        <v>0.340926191816994</v>
      </c>
      <c r="K43" s="8" t="n">
        <f aca="false">IFERROR(INDEX(Fig4c_Loci!$A$11:$A$161,IFERROR(MATCH($A43,Fig4c_Loci!$J$11:$J$161,-1)+1,1)),NA())</f>
        <v>47</v>
      </c>
    </row>
    <row r="44" customFormat="false" ht="15" hidden="false" customHeight="false" outlineLevel="0" collapsed="false">
      <c r="A44" s="4" t="n">
        <v>1.9</v>
      </c>
      <c r="B44" s="13" t="n">
        <f aca="false">IFERROR(INDEX(Fig4c_Loci!$C$11:$C$161,IFERROR(MATCH($A44,Fig4c_Loci!$B$11:$B$161,-1)+1,1)),NA())</f>
        <v>0.0554146245546313</v>
      </c>
      <c r="C44" s="8" t="n">
        <f aca="false">IFERROR(INDEX(Fig4c_Loci!$A$11:$A$161,IFERROR(MATCH($A44,Fig4c_Loci!$B$11:$B$161,-1)+1,1)),NA())</f>
        <v>37.5</v>
      </c>
      <c r="D44" s="13" t="n">
        <f aca="false">IFERROR(INDEX(Fig4c_Loci!$E$11:$E$161,IFERROR(MATCH($A44,Fig4c_Loci!$D$11:$D$161,-1)+1,1)),NA())</f>
        <v>0.0625350464008159</v>
      </c>
      <c r="E44" s="8" t="n">
        <f aca="false">IFERROR(INDEX(Fig4c_Loci!$A$11:$A$161,IFERROR(MATCH($A44,Fig4c_Loci!$D$11:$D$161,-1)+1,1)),NA())</f>
        <v>38.5</v>
      </c>
      <c r="F44" s="13" t="n">
        <f aca="false">IFERROR(INDEX(Fig4c_Loci!$G$11:$G$161,IFERROR(MATCH($A44,Fig4c_Loci!$F$11:$F$161,-1)+1,1)),NA())</f>
        <v>0.0775276469852983</v>
      </c>
      <c r="G44" s="8" t="n">
        <f aca="false">IFERROR(INDEX(Fig4c_Loci!$A$11:$A$161,IFERROR(MATCH($A44,Fig4c_Loci!$F$11:$F$161,-1)+1,1)),NA())</f>
        <v>41</v>
      </c>
      <c r="H44" s="13" t="n">
        <f aca="false">IFERROR(INDEX(Fig4c_Loci!$I$11:$I$161,IFERROR(MATCH($A44,Fig4c_Loci!$H$11:$H$161,-1)+1,1)),NA())</f>
        <v>0.106775610797339</v>
      </c>
      <c r="I44" s="8" t="n">
        <f aca="false">IFERROR(INDEX(Fig4c_Loci!$A$11:$A$161,IFERROR(MATCH($A44,Fig4c_Loci!$H$11:$H$161,-1)+1,1)),NA())</f>
        <v>43.5</v>
      </c>
      <c r="J44" s="13" t="n">
        <f aca="false">IFERROR(INDEX(Fig4c_Loci!$K$11:$K$161,IFERROR(MATCH($A44,Fig4c_Loci!$J$11:$J$161,-1)+1,1)),NA())</f>
        <v>0.352769007244713</v>
      </c>
      <c r="K44" s="8" t="n">
        <f aca="false">IFERROR(INDEX(Fig4c_Loci!$A$11:$A$161,IFERROR(MATCH($A44,Fig4c_Loci!$J$11:$J$161,-1)+1,1)),NA())</f>
        <v>46</v>
      </c>
    </row>
    <row r="45" customFormat="false" ht="15" hidden="false" customHeight="false" outlineLevel="0" collapsed="false">
      <c r="A45" s="4" t="n">
        <v>1.92</v>
      </c>
      <c r="B45" s="13" t="n">
        <f aca="false">IFERROR(INDEX(Fig4c_Loci!$C$11:$C$161,IFERROR(MATCH($A45,Fig4c_Loci!$B$11:$B$161,-1)+1,1)),NA())</f>
        <v>0.0558507936230479</v>
      </c>
      <c r="C45" s="8" t="n">
        <f aca="false">IFERROR(INDEX(Fig4c_Loci!$A$11:$A$161,IFERROR(MATCH($A45,Fig4c_Loci!$B$11:$B$161,-1)+1,1)),NA())</f>
        <v>37</v>
      </c>
      <c r="D45" s="13" t="n">
        <f aca="false">IFERROR(INDEX(Fig4c_Loci!$E$11:$E$161,IFERROR(MATCH($A45,Fig4c_Loci!$D$11:$D$161,-1)+1,1)),NA())</f>
        <v>0.0631159588279431</v>
      </c>
      <c r="E45" s="8" t="n">
        <f aca="false">IFERROR(INDEX(Fig4c_Loci!$A$11:$A$161,IFERROR(MATCH($A45,Fig4c_Loci!$D$11:$D$161,-1)+1,1)),NA())</f>
        <v>38</v>
      </c>
      <c r="F45" s="13" t="n">
        <f aca="false">IFERROR(INDEX(Fig4c_Loci!$G$11:$G$161,IFERROR(MATCH($A45,Fig4c_Loci!$F$11:$F$161,-1)+1,1)),NA())</f>
        <v>0.0793203235477218</v>
      </c>
      <c r="G45" s="8" t="n">
        <f aca="false">IFERROR(INDEX(Fig4c_Loci!$A$11:$A$161,IFERROR(MATCH($A45,Fig4c_Loci!$F$11:$F$161,-1)+1,1)),NA())</f>
        <v>40</v>
      </c>
      <c r="H45" s="13" t="n">
        <f aca="false">IFERROR(INDEX(Fig4c_Loci!$I$11:$I$161,IFERROR(MATCH($A45,Fig4c_Loci!$H$11:$H$161,-1)+1,1)),NA())</f>
        <v>0.109718849211359</v>
      </c>
      <c r="I45" s="8" t="n">
        <f aca="false">IFERROR(INDEX(Fig4c_Loci!$A$11:$A$161,IFERROR(MATCH($A45,Fig4c_Loci!$H$11:$H$161,-1)+1,1)),NA())</f>
        <v>42.5</v>
      </c>
      <c r="J45" s="13" t="n">
        <f aca="false">IFERROR(INDEX(Fig4c_Loci!$K$11:$K$161,IFERROR(MATCH($A45,Fig4c_Loci!$J$11:$J$161,-1)+1,1)),NA())</f>
        <v>0.358854586486227</v>
      </c>
      <c r="K45" s="8" t="n">
        <f aca="false">IFERROR(INDEX(Fig4c_Loci!$A$11:$A$161,IFERROR(MATCH($A45,Fig4c_Loci!$J$11:$J$161,-1)+1,1)),NA())</f>
        <v>45.5</v>
      </c>
    </row>
    <row r="46" customFormat="false" ht="15" hidden="false" customHeight="false" outlineLevel="0" collapsed="false">
      <c r="A46" s="4" t="n">
        <v>1.94</v>
      </c>
      <c r="B46" s="13" t="n">
        <f aca="false">IFERROR(INDEX(Fig4c_Loci!$C$11:$C$161,IFERROR(MATCH($A46,Fig4c_Loci!$B$11:$B$161,-1)+1,1)),NA())</f>
        <v>0.0567408302919708</v>
      </c>
      <c r="C46" s="8" t="n">
        <f aca="false">IFERROR(INDEX(Fig4c_Loci!$A$11:$A$161,IFERROR(MATCH($A46,Fig4c_Loci!$B$11:$B$161,-1)+1,1)),NA())</f>
        <v>36</v>
      </c>
      <c r="D46" s="13" t="n">
        <f aca="false">IFERROR(INDEX(Fig4c_Loci!$E$11:$E$161,IFERROR(MATCH($A46,Fig4c_Loci!$D$11:$D$161,-1)+1,1)),NA())</f>
        <v>0.0643047186397731</v>
      </c>
      <c r="E46" s="8" t="n">
        <f aca="false">IFERROR(INDEX(Fig4c_Loci!$A$11:$A$161,IFERROR(MATCH($A46,Fig4c_Loci!$D$11:$D$161,-1)+1,1)),NA())</f>
        <v>37</v>
      </c>
      <c r="F46" s="13" t="n">
        <f aca="false">IFERROR(INDEX(Fig4c_Loci!$G$11:$G$161,IFERROR(MATCH($A46,Fig4c_Loci!$F$11:$F$161,-1)+1,1)),NA())</f>
        <v>0.0802402202579405</v>
      </c>
      <c r="G46" s="8" t="n">
        <f aca="false">IFERROR(INDEX(Fig4c_Loci!$A$11:$A$161,IFERROR(MATCH($A46,Fig4c_Loci!$F$11:$F$161,-1)+1,1)),NA())</f>
        <v>39.5</v>
      </c>
      <c r="H46" s="13" t="n">
        <f aca="false">IFERROR(INDEX(Fig4c_Loci!$I$11:$I$161,IFERROR(MATCH($A46,Fig4c_Loci!$H$11:$H$161,-1)+1,1)),NA())</f>
        <v>0.111231175883865</v>
      </c>
      <c r="I46" s="8" t="n">
        <f aca="false">IFERROR(INDEX(Fig4c_Loci!$A$11:$A$161,IFERROR(MATCH($A46,Fig4c_Loci!$H$11:$H$161,-1)+1,1)),NA())</f>
        <v>42</v>
      </c>
      <c r="J46" s="13" t="n">
        <f aca="false">IFERROR(INDEX(Fig4c_Loci!$K$11:$K$161,IFERROR(MATCH($A46,Fig4c_Loci!$J$11:$J$161,-1)+1,1)),NA())</f>
        <v>0.371369504751156</v>
      </c>
      <c r="K46" s="8" t="n">
        <f aca="false">IFERROR(INDEX(Fig4c_Loci!$A$11:$A$161,IFERROR(MATCH($A46,Fig4c_Loci!$J$11:$J$161,-1)+1,1)),NA())</f>
        <v>44.5</v>
      </c>
    </row>
    <row r="47" customFormat="false" ht="15" hidden="false" customHeight="false" outlineLevel="0" collapsed="false">
      <c r="A47" s="4" t="n">
        <v>1.96</v>
      </c>
      <c r="B47" s="13" t="n">
        <f aca="false">IFERROR(INDEX(Fig4c_Loci!$C$11:$C$161,IFERROR(MATCH($A47,Fig4c_Loci!$B$11:$B$161,-1)+1,1)),NA())</f>
        <v>0.0571949386260275</v>
      </c>
      <c r="C47" s="8" t="n">
        <f aca="false">IFERROR(INDEX(Fig4c_Loci!$A$11:$A$161,IFERROR(MATCH($A47,Fig4c_Loci!$B$11:$B$161,-1)+1,1)),NA())</f>
        <v>35.5</v>
      </c>
      <c r="D47" s="13" t="n">
        <f aca="false">IFERROR(INDEX(Fig4c_Loci!$E$11:$E$161,IFERROR(MATCH($A47,Fig4c_Loci!$D$11:$D$161,-1)+1,1)),NA())</f>
        <v>0.0649129850497862</v>
      </c>
      <c r="E47" s="8" t="n">
        <f aca="false">IFERROR(INDEX(Fig4c_Loci!$A$11:$A$161,IFERROR(MATCH($A47,Fig4c_Loci!$D$11:$D$161,-1)+1,1)),NA())</f>
        <v>36.5</v>
      </c>
      <c r="F47" s="13" t="n">
        <f aca="false">IFERROR(INDEX(Fig4c_Loci!$G$11:$G$161,IFERROR(MATCH($A47,Fig4c_Loci!$F$11:$F$161,-1)+1,1)),NA())</f>
        <v>0.0821292281834386</v>
      </c>
      <c r="G47" s="8" t="n">
        <f aca="false">IFERROR(INDEX(Fig4c_Loci!$A$11:$A$161,IFERROR(MATCH($A47,Fig4c_Loci!$F$11:$F$161,-1)+1,1)),NA())</f>
        <v>38.5</v>
      </c>
      <c r="H47" s="13" t="n">
        <f aca="false">IFERROR(INDEX(Fig4c_Loci!$I$11:$I$161,IFERROR(MATCH($A47,Fig4c_Loci!$H$11:$H$161,-1)+1,1)),NA())</f>
        <v>0.114341060837437</v>
      </c>
      <c r="I47" s="8" t="n">
        <f aca="false">IFERROR(INDEX(Fig4c_Loci!$A$11:$A$161,IFERROR(MATCH($A47,Fig4c_Loci!$H$11:$H$161,-1)+1,1)),NA())</f>
        <v>41</v>
      </c>
      <c r="J47" s="13" t="n">
        <f aca="false">IFERROR(INDEX(Fig4c_Loci!$K$11:$K$161,IFERROR(MATCH($A47,Fig4c_Loci!$J$11:$J$161,-1)+1,1)),NA())</f>
        <v>0.377805361208179</v>
      </c>
      <c r="K47" s="8" t="n">
        <f aca="false">IFERROR(INDEX(Fig4c_Loci!$A$11:$A$161,IFERROR(MATCH($A47,Fig4c_Loci!$J$11:$J$161,-1)+1,1)),NA())</f>
        <v>44</v>
      </c>
    </row>
    <row r="48" customFormat="false" ht="15" hidden="false" customHeight="false" outlineLevel="0" collapsed="false">
      <c r="A48" s="4" t="n">
        <v>1.98</v>
      </c>
      <c r="B48" s="13" t="n">
        <f aca="false">IFERROR(INDEX(Fig4c_Loci!$C$11:$C$161,IFERROR(MATCH($A48,Fig4c_Loci!$B$11:$B$161,-1)+1,1)),NA())</f>
        <v>0.0581219620238708</v>
      </c>
      <c r="C48" s="8" t="n">
        <f aca="false">IFERROR(INDEX(Fig4c_Loci!$A$11:$A$161,IFERROR(MATCH($A48,Fig4c_Loci!$B$11:$B$161,-1)+1,1)),NA())</f>
        <v>34.5</v>
      </c>
      <c r="D48" s="13" t="n">
        <f aca="false">IFERROR(INDEX(Fig4c_Loci!$E$11:$E$161,IFERROR(MATCH($A48,Fig4c_Loci!$D$11:$D$161,-1)+1,1)),NA())</f>
        <v>0.0661583881041021</v>
      </c>
      <c r="E48" s="8" t="n">
        <f aca="false">IFERROR(INDEX(Fig4c_Loci!$A$11:$A$161,IFERROR(MATCH($A48,Fig4c_Loci!$D$11:$D$161,-1)+1,1)),NA())</f>
        <v>35.5</v>
      </c>
      <c r="F48" s="13" t="n">
        <f aca="false">IFERROR(INDEX(Fig4c_Loci!$G$11:$G$161,IFERROR(MATCH($A48,Fig4c_Loci!$F$11:$F$161,-1)+1,1)),NA())</f>
        <v>0.0830992236858423</v>
      </c>
      <c r="G48" s="8" t="n">
        <f aca="false">IFERROR(INDEX(Fig4c_Loci!$A$11:$A$161,IFERROR(MATCH($A48,Fig4c_Loci!$F$11:$F$161,-1)+1,1)),NA())</f>
        <v>38</v>
      </c>
      <c r="H48" s="13" t="n">
        <f aca="false">IFERROR(INDEX(Fig4c_Loci!$I$11:$I$161,IFERROR(MATCH($A48,Fig4c_Loci!$H$11:$H$161,-1)+1,1)),NA())</f>
        <v>0.115940232484654</v>
      </c>
      <c r="I48" s="8" t="n">
        <f aca="false">IFERROR(INDEX(Fig4c_Loci!$A$11:$A$161,IFERROR(MATCH($A48,Fig4c_Loci!$H$11:$H$161,-1)+1,1)),NA())</f>
        <v>40.5</v>
      </c>
      <c r="J48" s="13" t="n">
        <f aca="false">IFERROR(INDEX(Fig4c_Loci!$K$11:$K$161,IFERROR(MATCH($A48,Fig4c_Loci!$J$11:$J$161,-1)+1,1)),NA())</f>
        <v>0.384364702081644</v>
      </c>
      <c r="K48" s="8" t="n">
        <f aca="false">IFERROR(INDEX(Fig4c_Loci!$A$11:$A$161,IFERROR(MATCH($A48,Fig4c_Loci!$J$11:$J$161,-1)+1,1)),NA())</f>
        <v>43.5</v>
      </c>
    </row>
    <row r="49" customFormat="false" ht="15" hidden="false" customHeight="false" outlineLevel="0" collapsed="false">
      <c r="A49" s="4" t="n">
        <v>2</v>
      </c>
      <c r="B49" s="13" t="n">
        <f aca="false">IFERROR(INDEX(Fig4c_Loci!$C$11:$C$161,IFERROR(MATCH($A49,Fig4c_Loci!$B$11:$B$161,-1)+1,1)),NA())</f>
        <v>0.0585951382225076</v>
      </c>
      <c r="C49" s="8" t="n">
        <f aca="false">IFERROR(INDEX(Fig4c_Loci!$A$11:$A$161,IFERROR(MATCH($A49,Fig4c_Loci!$B$11:$B$161,-1)+1,1)),NA())</f>
        <v>34</v>
      </c>
      <c r="D49" s="13" t="n">
        <f aca="false">IFERROR(INDEX(Fig4c_Loci!$E$11:$E$161,IFERROR(MATCH($A49,Fig4c_Loci!$D$11:$D$161,-1)+1,1)),NA())</f>
        <v>0.0667959846114449</v>
      </c>
      <c r="E49" s="8" t="n">
        <f aca="false">IFERROR(INDEX(Fig4c_Loci!$A$11:$A$161,IFERROR(MATCH($A49,Fig4c_Loci!$D$11:$D$161,-1)+1,1)),NA())</f>
        <v>35</v>
      </c>
      <c r="F49" s="13" t="n">
        <f aca="false">IFERROR(INDEX(Fig4c_Loci!$G$11:$G$161,IFERROR(MATCH($A49,Fig4c_Loci!$F$11:$F$161,-1)+1,1)),NA())</f>
        <v>0.0840868297940916</v>
      </c>
      <c r="G49" s="8" t="n">
        <f aca="false">IFERROR(INDEX(Fig4c_Loci!$A$11:$A$161,IFERROR(MATCH($A49,Fig4c_Loci!$F$11:$F$161,-1)+1,1)),NA())</f>
        <v>37.5</v>
      </c>
      <c r="H49" s="13" t="n">
        <f aca="false">IFERROR(INDEX(Fig4c_Loci!$I$11:$I$161,IFERROR(MATCH($A49,Fig4c_Loci!$H$11:$H$161,-1)+1,1)),NA())</f>
        <v>0.11757001720831</v>
      </c>
      <c r="I49" s="8" t="n">
        <f aca="false">IFERROR(INDEX(Fig4c_Loci!$A$11:$A$161,IFERROR(MATCH($A49,Fig4c_Loci!$H$11:$H$161,-1)+1,1)),NA())</f>
        <v>40</v>
      </c>
      <c r="J49" s="13" t="n">
        <f aca="false">IFERROR(INDEX(Fig4c_Loci!$K$11:$K$161,IFERROR(MATCH($A49,Fig4c_Loci!$J$11:$J$161,-1)+1,1)),NA())</f>
        <v>0.397868295277975</v>
      </c>
      <c r="K49" s="8" t="n">
        <f aca="false">IFERROR(INDEX(Fig4c_Loci!$A$11:$A$161,IFERROR(MATCH($A49,Fig4c_Loci!$J$11:$J$161,-1)+1,1)),NA())</f>
        <v>42.5</v>
      </c>
    </row>
    <row r="50" customFormat="false" ht="15" hidden="false" customHeight="false" outlineLevel="0" collapsed="false">
      <c r="A50" s="4" t="n">
        <v>2.02</v>
      </c>
      <c r="B50" s="13" t="n">
        <f aca="false">IFERROR(INDEX(Fig4c_Loci!$C$11:$C$161,IFERROR(MATCH($A50,Fig4c_Loci!$B$11:$B$161,-1)+1,1)),NA())</f>
        <v>0.0595615000333045</v>
      </c>
      <c r="C50" s="8" t="n">
        <f aca="false">IFERROR(INDEX(Fig4c_Loci!$A$11:$A$161,IFERROR(MATCH($A50,Fig4c_Loci!$B$11:$B$161,-1)+1,1)),NA())</f>
        <v>33</v>
      </c>
      <c r="D50" s="13" t="n">
        <f aca="false">IFERROR(INDEX(Fig4c_Loci!$E$11:$E$161,IFERROR(MATCH($A50,Fig4c_Loci!$D$11:$D$161,-1)+1,1)),NA())</f>
        <v>0.0681021730703023</v>
      </c>
      <c r="E50" s="8" t="n">
        <f aca="false">IFERROR(INDEX(Fig4c_Loci!$A$11:$A$161,IFERROR(MATCH($A50,Fig4c_Loci!$D$11:$D$161,-1)+1,1)),NA())</f>
        <v>34</v>
      </c>
      <c r="F50" s="13" t="n">
        <f aca="false">IFERROR(INDEX(Fig4c_Loci!$G$11:$G$161,IFERROR(MATCH($A50,Fig4c_Loci!$F$11:$F$161,-1)+1,1)),NA())</f>
        <v>0.0861168249802724</v>
      </c>
      <c r="G50" s="8" t="n">
        <f aca="false">IFERROR(INDEX(Fig4c_Loci!$A$11:$A$161,IFERROR(MATCH($A50,Fig4c_Loci!$F$11:$F$161,-1)+1,1)),NA())</f>
        <v>36.5</v>
      </c>
      <c r="H50" s="13" t="n">
        <f aca="false">IFERROR(INDEX(Fig4c_Loci!$I$11:$I$161,IFERROR(MATCH($A50,Fig4c_Loci!$H$11:$H$161,-1)+1,1)),NA())</f>
        <v>0.120925004374634</v>
      </c>
      <c r="I50" s="8" t="n">
        <f aca="false">IFERROR(INDEX(Fig4c_Loci!$A$11:$A$161,IFERROR(MATCH($A50,Fig4c_Loci!$H$11:$H$161,-1)+1,1)),NA())</f>
        <v>39</v>
      </c>
      <c r="J50" s="13" t="n">
        <f aca="false">IFERROR(INDEX(Fig4c_Loci!$K$11:$K$161,IFERROR(MATCH($A50,Fig4c_Loci!$J$11:$J$161,-1)+1,1)),NA())</f>
        <v>0.404820132846587</v>
      </c>
      <c r="K50" s="8" t="n">
        <f aca="false">IFERROR(INDEX(Fig4c_Loci!$A$11:$A$161,IFERROR(MATCH($A50,Fig4c_Loci!$J$11:$J$161,-1)+1,1)),NA())</f>
        <v>42</v>
      </c>
    </row>
    <row r="51" customFormat="false" ht="15" hidden="false" customHeight="false" outlineLevel="0" collapsed="false">
      <c r="A51" s="4" t="n">
        <v>2.04</v>
      </c>
      <c r="B51" s="13" t="n">
        <f aca="false">IFERROR(INDEX(Fig4c_Loci!$C$11:$C$161,IFERROR(MATCH($A51,Fig4c_Loci!$B$11:$B$161,-1)+1,1)),NA())</f>
        <v>0.0600549693893631</v>
      </c>
      <c r="C51" s="8" t="n">
        <f aca="false">IFERROR(INDEX(Fig4c_Loci!$A$11:$A$161,IFERROR(MATCH($A51,Fig4c_Loci!$B$11:$B$161,-1)+1,1)),NA())</f>
        <v>32.5</v>
      </c>
      <c r="D51" s="13" t="n">
        <f aca="false">IFERROR(INDEX(Fig4c_Loci!$E$11:$E$161,IFERROR(MATCH($A51,Fig4c_Loci!$D$11:$D$161,-1)+1,1)),NA())</f>
        <v>0.0687712708212093</v>
      </c>
      <c r="E51" s="8" t="n">
        <f aca="false">IFERROR(INDEX(Fig4c_Loci!$A$11:$A$161,IFERROR(MATCH($A51,Fig4c_Loci!$D$11:$D$161,-1)+1,1)),NA())</f>
        <v>33.5</v>
      </c>
      <c r="F51" s="13" t="n">
        <f aca="false">IFERROR(INDEX(Fig4c_Loci!$G$11:$G$161,IFERROR(MATCH($A51,Fig4c_Loci!$F$11:$F$161,-1)+1,1)),NA())</f>
        <v>0.0871602350903399</v>
      </c>
      <c r="G51" s="8" t="n">
        <f aca="false">IFERROR(INDEX(Fig4c_Loci!$A$11:$A$161,IFERROR(MATCH($A51,Fig4c_Loci!$F$11:$F$161,-1)+1,1)),NA())</f>
        <v>36</v>
      </c>
      <c r="H51" s="13" t="n">
        <f aca="false">IFERROR(INDEX(Fig4c_Loci!$I$11:$I$161,IFERROR(MATCH($A51,Fig4c_Loci!$H$11:$H$161,-1)+1,1)),NA())</f>
        <v>0.122652084065368</v>
      </c>
      <c r="I51" s="8" t="n">
        <f aca="false">IFERROR(INDEX(Fig4c_Loci!$A$11:$A$161,IFERROR(MATCH($A51,Fig4c_Loci!$H$11:$H$161,-1)+1,1)),NA())</f>
        <v>38.5</v>
      </c>
      <c r="J51" s="13" t="n">
        <f aca="false">IFERROR(INDEX(Fig4c_Loci!$K$11:$K$161,IFERROR(MATCH($A51,Fig4c_Loci!$J$11:$J$161,-1)+1,1)),NA())</f>
        <v>0.411910639499391</v>
      </c>
      <c r="K51" s="8" t="n">
        <f aca="false">IFERROR(INDEX(Fig4c_Loci!$A$11:$A$161,IFERROR(MATCH($A51,Fig4c_Loci!$J$11:$J$161,-1)+1,1)),NA())</f>
        <v>41.5</v>
      </c>
    </row>
    <row r="52" customFormat="false" ht="15" hidden="false" customHeight="false" outlineLevel="0" collapsed="false">
      <c r="A52" s="4" t="n">
        <v>2.06</v>
      </c>
      <c r="B52" s="13" t="n">
        <f aca="false">IFERROR(INDEX(Fig4c_Loci!$C$11:$C$161,IFERROR(MATCH($A52,Fig4c_Loci!$B$11:$B$161,-1)+1,1)),NA())</f>
        <v>0.0610632249736615</v>
      </c>
      <c r="C52" s="8" t="n">
        <f aca="false">IFERROR(INDEX(Fig4c_Loci!$A$11:$A$161,IFERROR(MATCH($A52,Fig4c_Loci!$B$11:$B$161,-1)+1,1)),NA())</f>
        <v>31.5</v>
      </c>
      <c r="D52" s="13" t="n">
        <f aca="false">IFERROR(INDEX(Fig4c_Loci!$E$11:$E$161,IFERROR(MATCH($A52,Fig4c_Loci!$D$11:$D$161,-1)+1,1)),NA())</f>
        <v>0.0694513886555845</v>
      </c>
      <c r="E52" s="8" t="n">
        <f aca="false">IFERROR(INDEX(Fig4c_Loci!$A$11:$A$161,IFERROR(MATCH($A52,Fig4c_Loci!$D$11:$D$161,-1)+1,1)),NA())</f>
        <v>33</v>
      </c>
      <c r="F52" s="13" t="n">
        <f aca="false">IFERROR(INDEX(Fig4c_Loci!$G$11:$G$161,IFERROR(MATCH($A52,Fig4c_Loci!$F$11:$F$161,-1)+1,1)),NA())</f>
        <v>0.0893065783574274</v>
      </c>
      <c r="G52" s="8" t="n">
        <f aca="false">IFERROR(INDEX(Fig4c_Loci!$A$11:$A$161,IFERROR(MATCH($A52,Fig4c_Loci!$F$11:$F$161,-1)+1,1)),NA())</f>
        <v>35</v>
      </c>
      <c r="H52" s="13" t="n">
        <f aca="false">IFERROR(INDEX(Fig4c_Loci!$I$11:$I$161,IFERROR(MATCH($A52,Fig4c_Loci!$H$11:$H$161,-1)+1,1)),NA())</f>
        <v>0.1244135348258</v>
      </c>
      <c r="I52" s="8" t="n">
        <f aca="false">IFERROR(INDEX(Fig4c_Loci!$A$11:$A$161,IFERROR(MATCH($A52,Fig4c_Loci!$H$11:$H$161,-1)+1,1)),NA())</f>
        <v>38</v>
      </c>
      <c r="J52" s="13" t="n">
        <f aca="false">IFERROR(INDEX(Fig4c_Loci!$K$11:$K$161,IFERROR(MATCH($A52,Fig4c_Loci!$J$11:$J$161,-1)+1,1)),NA())</f>
        <v>0.419143996649604</v>
      </c>
      <c r="K52" s="8" t="n">
        <f aca="false">IFERROR(INDEX(Fig4c_Loci!$A$11:$A$161,IFERROR(MATCH($A52,Fig4c_Loci!$J$11:$J$161,-1)+1,1)),NA())</f>
        <v>41</v>
      </c>
    </row>
    <row r="53" customFormat="false" ht="15" hidden="false" customHeight="false" outlineLevel="0" collapsed="false">
      <c r="A53" s="4" t="n">
        <v>2.08</v>
      </c>
      <c r="B53" s="13" t="n">
        <f aca="false">IFERROR(INDEX(Fig4c_Loci!$C$11:$C$161,IFERROR(MATCH($A53,Fig4c_Loci!$B$11:$B$161,-1)+1,1)),NA())</f>
        <v>0.0615783200556079</v>
      </c>
      <c r="C53" s="8" t="n">
        <f aca="false">IFERROR(INDEX(Fig4c_Loci!$A$11:$A$161,IFERROR(MATCH($A53,Fig4c_Loci!$B$11:$B$161,-1)+1,1)),NA())</f>
        <v>31</v>
      </c>
      <c r="D53" s="13" t="n">
        <f aca="false">IFERROR(INDEX(Fig4c_Loci!$E$11:$E$161,IFERROR(MATCH($A53,Fig4c_Loci!$D$11:$D$161,-1)+1,1)),NA())</f>
        <v>0.0708457906358816</v>
      </c>
      <c r="E53" s="8" t="n">
        <f aca="false">IFERROR(INDEX(Fig4c_Loci!$A$11:$A$161,IFERROR(MATCH($A53,Fig4c_Loci!$D$11:$D$161,-1)+1,1)),NA())</f>
        <v>32</v>
      </c>
      <c r="F53" s="13" t="n">
        <f aca="false">IFERROR(INDEX(Fig4c_Loci!$G$11:$G$161,IFERROR(MATCH($A53,Fig4c_Loci!$F$11:$F$161,-1)+1,1)),NA())</f>
        <v>0.0904106527965764</v>
      </c>
      <c r="G53" s="8" t="n">
        <f aca="false">IFERROR(INDEX(Fig4c_Loci!$A$11:$A$161,IFERROR(MATCH($A53,Fig4c_Loci!$F$11:$F$161,-1)+1,1)),NA())</f>
        <v>34.5</v>
      </c>
      <c r="H53" s="13" t="n">
        <f aca="false">IFERROR(INDEX(Fig4c_Loci!$I$11:$I$161,IFERROR(MATCH($A53,Fig4c_Loci!$H$11:$H$161,-1)+1,1)),NA())</f>
        <v>0.128043730225993</v>
      </c>
      <c r="I53" s="8" t="n">
        <f aca="false">IFERROR(INDEX(Fig4c_Loci!$A$11:$A$161,IFERROR(MATCH($A53,Fig4c_Loci!$H$11:$H$161,-1)+1,1)),NA())</f>
        <v>37</v>
      </c>
      <c r="J53" s="13" t="n">
        <f aca="false">IFERROR(INDEX(Fig4c_Loci!$K$11:$K$161,IFERROR(MATCH($A53,Fig4c_Loci!$J$11:$J$161,-1)+1,1)),NA())</f>
        <v>0.434056845902177</v>
      </c>
      <c r="K53" s="8" t="n">
        <f aca="false">IFERROR(INDEX(Fig4c_Loci!$A$11:$A$161,IFERROR(MATCH($A53,Fig4c_Loci!$J$11:$J$161,-1)+1,1)),NA())</f>
        <v>40</v>
      </c>
    </row>
    <row r="54" customFormat="false" ht="15" hidden="false" customHeight="false" outlineLevel="0" collapsed="false">
      <c r="A54" s="4" t="n">
        <v>2.1</v>
      </c>
      <c r="B54" s="13" t="n">
        <f aca="false">IFERROR(INDEX(Fig4c_Loci!$C$11:$C$161,IFERROR(MATCH($A54,Fig4c_Loci!$B$11:$B$161,-1)+1,1)),NA())</f>
        <v>0.0621009400790718</v>
      </c>
      <c r="C54" s="8" t="n">
        <f aca="false">IFERROR(INDEX(Fig4c_Loci!$A$11:$A$161,IFERROR(MATCH($A54,Fig4c_Loci!$B$11:$B$161,-1)+1,1)),NA())</f>
        <v>30.5</v>
      </c>
      <c r="D54" s="13" t="n">
        <f aca="false">IFERROR(INDEX(Fig4c_Loci!$E$11:$E$161,IFERROR(MATCH($A54,Fig4c_Loci!$D$11:$D$161,-1)+1,1)),NA())</f>
        <v>0.0715606511349762</v>
      </c>
      <c r="E54" s="8" t="n">
        <f aca="false">IFERROR(INDEX(Fig4c_Loci!$A$11:$A$161,IFERROR(MATCH($A54,Fig4c_Loci!$D$11:$D$161,-1)+1,1)),NA())</f>
        <v>31.5</v>
      </c>
      <c r="F54" s="13" t="n">
        <f aca="false">IFERROR(INDEX(Fig4c_Loci!$G$11:$G$161,IFERROR(MATCH($A54,Fig4c_Loci!$F$11:$F$161,-1)+1,1)),NA())</f>
        <v>0.0915361267848254</v>
      </c>
      <c r="G54" s="8" t="n">
        <f aca="false">IFERROR(INDEX(Fig4c_Loci!$A$11:$A$161,IFERROR(MATCH($A54,Fig4c_Loci!$F$11:$F$161,-1)+1,1)),NA())</f>
        <v>34</v>
      </c>
      <c r="H54" s="13" t="n">
        <f aca="false">IFERROR(INDEX(Fig4c_Loci!$I$11:$I$161,IFERROR(MATCH($A54,Fig4c_Loci!$H$11:$H$161,-1)+1,1)),NA())</f>
        <v>0.129914672224205</v>
      </c>
      <c r="I54" s="8" t="n">
        <f aca="false">IFERROR(INDEX(Fig4c_Loci!$A$11:$A$161,IFERROR(MATCH($A54,Fig4c_Loci!$H$11:$H$161,-1)+1,1)),NA())</f>
        <v>36.5</v>
      </c>
      <c r="J54" s="13" t="n">
        <f aca="false">IFERROR(INDEX(Fig4c_Loci!$K$11:$K$161,IFERROR(MATCH($A54,Fig4c_Loci!$J$11:$J$161,-1)+1,1)),NA())</f>
        <v>0.441745585308138</v>
      </c>
      <c r="K54" s="8" t="n">
        <f aca="false">IFERROR(INDEX(Fig4c_Loci!$A$11:$A$161,IFERROR(MATCH($A54,Fig4c_Loci!$J$11:$J$161,-1)+1,1)),NA())</f>
        <v>39.5</v>
      </c>
    </row>
    <row r="55" customFormat="false" ht="15" hidden="false" customHeight="false" outlineLevel="0" collapsed="false">
      <c r="A55" s="4" t="n">
        <v>2.12</v>
      </c>
      <c r="B55" s="13" t="n">
        <f aca="false">IFERROR(INDEX(Fig4c_Loci!$C$11:$C$161,IFERROR(MATCH($A55,Fig4c_Loci!$B$11:$B$161,-1)+1,1)),NA())</f>
        <v>0.0631694236424871</v>
      </c>
      <c r="C55" s="8" t="n">
        <f aca="false">IFERROR(INDEX(Fig4c_Loci!$A$11:$A$161,IFERROR(MATCH($A55,Fig4c_Loci!$B$11:$B$161,-1)+1,1)),NA())</f>
        <v>29.5</v>
      </c>
      <c r="D55" s="13" t="n">
        <f aca="false">IFERROR(INDEX(Fig4c_Loci!$E$11:$E$161,IFERROR(MATCH($A55,Fig4c_Loci!$D$11:$D$161,-1)+1,1)),NA())</f>
        <v>0.0722876852174332</v>
      </c>
      <c r="E55" s="8" t="n">
        <f aca="false">IFERROR(INDEX(Fig4c_Loci!$A$11:$A$161,IFERROR(MATCH($A55,Fig4c_Loci!$D$11:$D$161,-1)+1,1)),NA())</f>
        <v>31</v>
      </c>
      <c r="F55" s="13" t="n">
        <f aca="false">IFERROR(INDEX(Fig4c_Loci!$G$11:$G$161,IFERROR(MATCH($A55,Fig4c_Loci!$F$11:$F$161,-1)+1,1)),NA())</f>
        <v>0.0938538081705738</v>
      </c>
      <c r="G55" s="8" t="n">
        <f aca="false">IFERROR(INDEX(Fig4c_Loci!$A$11:$A$161,IFERROR(MATCH($A55,Fig4c_Loci!$F$11:$F$161,-1)+1,1)),NA())</f>
        <v>33</v>
      </c>
      <c r="H55" s="13" t="n">
        <f aca="false">IFERROR(INDEX(Fig4c_Loci!$I$11:$I$161,IFERROR(MATCH($A55,Fig4c_Loci!$H$11:$H$161,-1)+1,1)),NA())</f>
        <v>0.131824384437968</v>
      </c>
      <c r="I55" s="8" t="n">
        <f aca="false">IFERROR(INDEX(Fig4c_Loci!$A$11:$A$161,IFERROR(MATCH($A55,Fig4c_Loci!$H$11:$H$161,-1)+1,1)),NA())</f>
        <v>36</v>
      </c>
      <c r="J55" s="13" t="n">
        <f aca="false">IFERROR(INDEX(Fig4c_Loci!$K$11:$K$161,IFERROR(MATCH($A55,Fig4c_Loci!$J$11:$J$161,-1)+1,1)),NA())</f>
        <v>0.449595688902175</v>
      </c>
      <c r="K55" s="8" t="n">
        <f aca="false">IFERROR(INDEX(Fig4c_Loci!$A$11:$A$161,IFERROR(MATCH($A55,Fig4c_Loci!$J$11:$J$161,-1)+1,1)),NA())</f>
        <v>39</v>
      </c>
    </row>
    <row r="56" customFormat="false" ht="15" hidden="false" customHeight="false" outlineLevel="0" collapsed="false">
      <c r="A56" s="4" t="n">
        <v>2.14</v>
      </c>
      <c r="B56" s="13" t="n">
        <f aca="false">IFERROR(INDEX(Fig4c_Loci!$C$11:$C$161,IFERROR(MATCH($A56,Fig4c_Loci!$B$11:$B$161,-1)+1,1)),NA())</f>
        <v>0.0637156340003119</v>
      </c>
      <c r="C56" s="8" t="n">
        <f aca="false">IFERROR(INDEX(Fig4c_Loci!$A$11:$A$161,IFERROR(MATCH($A56,Fig4c_Loci!$B$11:$B$161,-1)+1,1)),NA())</f>
        <v>29</v>
      </c>
      <c r="D56" s="13" t="n">
        <f aca="false">IFERROR(INDEX(Fig4c_Loci!$E$11:$E$161,IFERROR(MATCH($A56,Fig4c_Loci!$D$11:$D$161,-1)+1,1)),NA())</f>
        <v>0.0737795382592791</v>
      </c>
      <c r="E56" s="8" t="n">
        <f aca="false">IFERROR(INDEX(Fig4c_Loci!$A$11:$A$161,IFERROR(MATCH($A56,Fig4c_Loci!$D$11:$D$161,-1)+1,1)),NA())</f>
        <v>30</v>
      </c>
      <c r="F56" s="13" t="n">
        <f aca="false">IFERROR(INDEX(Fig4c_Loci!$G$11:$G$161,IFERROR(MATCH($A56,Fig4c_Loci!$F$11:$F$161,-1)+1,1)),NA())</f>
        <v>0.0950473461223947</v>
      </c>
      <c r="G56" s="8" t="n">
        <f aca="false">IFERROR(INDEX(Fig4c_Loci!$A$11:$A$161,IFERROR(MATCH($A56,Fig4c_Loci!$F$11:$F$161,-1)+1,1)),NA())</f>
        <v>32.5</v>
      </c>
      <c r="H56" s="13" t="n">
        <f aca="false">IFERROR(INDEX(Fig4c_Loci!$I$11:$I$161,IFERROR(MATCH($A56,Fig4c_Loci!$H$11:$H$161,-1)+1,1)),NA())</f>
        <v>0.133774082778056</v>
      </c>
      <c r="I56" s="8" t="n">
        <f aca="false">IFERROR(INDEX(Fig4c_Loci!$A$11:$A$161,IFERROR(MATCH($A56,Fig4c_Loci!$H$11:$H$161,-1)+1,1)),NA())</f>
        <v>35.5</v>
      </c>
      <c r="J56" s="13" t="n">
        <f aca="false">IFERROR(INDEX(Fig4c_Loci!$K$11:$K$161,IFERROR(MATCH($A56,Fig4c_Loci!$J$11:$J$161,-1)+1,1)),NA())</f>
        <v>0.45761227990782</v>
      </c>
      <c r="K56" s="8" t="n">
        <f aca="false">IFERROR(INDEX(Fig4c_Loci!$A$11:$A$161,IFERROR(MATCH($A56,Fig4c_Loci!$J$11:$J$161,-1)+1,1)),NA())</f>
        <v>38.5</v>
      </c>
    </row>
    <row r="57" customFormat="false" ht="15" hidden="false" customHeight="false" outlineLevel="0" collapsed="false">
      <c r="A57" s="4" t="n">
        <v>2.16</v>
      </c>
      <c r="B57" s="13" t="n">
        <f aca="false">IFERROR(INDEX(Fig4c_Loci!$C$11:$C$161,IFERROR(MATCH($A57,Fig4c_Loci!$B$11:$B$161,-1)+1,1)),NA())</f>
        <v>0.0642700633103841</v>
      </c>
      <c r="C57" s="8" t="n">
        <f aca="false">IFERROR(INDEX(Fig4c_Loci!$A$11:$A$161,IFERROR(MATCH($A57,Fig4c_Loci!$B$11:$B$161,-1)+1,1)),NA())</f>
        <v>28.5</v>
      </c>
      <c r="D57" s="13" t="n">
        <f aca="false">IFERROR(INDEX(Fig4c_Loci!$E$11:$E$161,IFERROR(MATCH($A57,Fig4c_Loci!$D$11:$D$161,-1)+1,1)),NA())</f>
        <v>0.0745450168683973</v>
      </c>
      <c r="E57" s="8" t="n">
        <f aca="false">IFERROR(INDEX(Fig4c_Loci!$A$11:$A$161,IFERROR(MATCH($A57,Fig4c_Loci!$D$11:$D$161,-1)+1,1)),NA())</f>
        <v>29.5</v>
      </c>
      <c r="F57" s="13" t="n">
        <f aca="false">IFERROR(INDEX(Fig4c_Loci!$G$11:$G$161,IFERROR(MATCH($A57,Fig4c_Loci!$F$11:$F$161,-1)+1,1)),NA())</f>
        <v>0.0962649472764549</v>
      </c>
      <c r="G57" s="8" t="n">
        <f aca="false">IFERROR(INDEX(Fig4c_Loci!$A$11:$A$161,IFERROR(MATCH($A57,Fig4c_Loci!$F$11:$F$161,-1)+1,1)),NA())</f>
        <v>32</v>
      </c>
      <c r="H57" s="13" t="n">
        <f aca="false">IFERROR(INDEX(Fig4c_Loci!$I$11:$I$161,IFERROR(MATCH($A57,Fig4c_Loci!$H$11:$H$161,-1)+1,1)),NA())</f>
        <v>0.137798561129637</v>
      </c>
      <c r="I57" s="8" t="n">
        <f aca="false">IFERROR(INDEX(Fig4c_Loci!$A$11:$A$161,IFERROR(MATCH($A57,Fig4c_Loci!$H$11:$H$161,-1)+1,1)),NA())</f>
        <v>34.5</v>
      </c>
      <c r="J57" s="13" t="n">
        <f aca="false">IFERROR(INDEX(Fig4c_Loci!$K$11:$K$161,IFERROR(MATCH($A57,Fig4c_Loci!$J$11:$J$161,-1)+1,1)),NA())</f>
        <v>0.474166524882654</v>
      </c>
      <c r="K57" s="8" t="n">
        <f aca="false">IFERROR(INDEX(Fig4c_Loci!$A$11:$A$161,IFERROR(MATCH($A57,Fig4c_Loci!$J$11:$J$161,-1)+1,1)),NA())</f>
        <v>37.5</v>
      </c>
    </row>
    <row r="58" customFormat="false" ht="15" hidden="false" customHeight="false" outlineLevel="0" collapsed="false">
      <c r="A58" s="4" t="n">
        <v>2.18</v>
      </c>
      <c r="B58" s="13" t="n">
        <f aca="false">IFERROR(INDEX(Fig4c_Loci!$C$11:$C$161,IFERROR(MATCH($A58,Fig4c_Loci!$B$11:$B$161,-1)+1,1)),NA())</f>
        <v>0.0654043314453703</v>
      </c>
      <c r="C58" s="8" t="n">
        <f aca="false">IFERROR(INDEX(Fig4c_Loci!$A$11:$A$161,IFERROR(MATCH($A58,Fig4c_Loci!$B$11:$B$161,-1)+1,1)),NA())</f>
        <v>27.5</v>
      </c>
      <c r="D58" s="13" t="n">
        <f aca="false">IFERROR(INDEX(Fig4c_Loci!$E$11:$E$161,IFERROR(MATCH($A58,Fig4c_Loci!$D$11:$D$161,-1)+1,1)),NA())</f>
        <v>0.0753239893320184</v>
      </c>
      <c r="E58" s="8" t="n">
        <f aca="false">IFERROR(INDEX(Fig4c_Loci!$A$11:$A$161,IFERROR(MATCH($A58,Fig4c_Loci!$D$11:$D$161,-1)+1,1)),NA())</f>
        <v>29</v>
      </c>
      <c r="F58" s="13" t="n">
        <f aca="false">IFERROR(INDEX(Fig4c_Loci!$G$11:$G$161,IFERROR(MATCH($A58,Fig4c_Loci!$F$11:$F$161,-1)+1,1)),NA())</f>
        <v>0.0975073459442611</v>
      </c>
      <c r="G58" s="8" t="n">
        <f aca="false">IFERROR(INDEX(Fig4c_Loci!$A$11:$A$161,IFERROR(MATCH($A58,Fig4c_Loci!$F$11:$F$161,-1)+1,1)),NA())</f>
        <v>31.5</v>
      </c>
      <c r="H58" s="13" t="n">
        <f aca="false">IFERROR(INDEX(Fig4c_Loci!$I$11:$I$161,IFERROR(MATCH($A58,Fig4c_Loci!$H$11:$H$161,-1)+1,1)),NA())</f>
        <v>0.139876041018716</v>
      </c>
      <c r="I58" s="8" t="n">
        <f aca="false">IFERROR(INDEX(Fig4c_Loci!$A$11:$A$161,IFERROR(MATCH($A58,Fig4c_Loci!$H$11:$H$161,-1)+1,1)),NA())</f>
        <v>34</v>
      </c>
      <c r="J58" s="13" t="n">
        <f aca="false">IFERROR(INDEX(Fig4c_Loci!$K$11:$K$161,IFERROR(MATCH($A58,Fig4c_Loci!$J$11:$J$161,-1)+1,1)),NA())</f>
        <v>0.482715569459607</v>
      </c>
      <c r="K58" s="8" t="n">
        <f aca="false">IFERROR(INDEX(Fig4c_Loci!$A$11:$A$161,IFERROR(MATCH($A58,Fig4c_Loci!$J$11:$J$161,-1)+1,1)),NA())</f>
        <v>37</v>
      </c>
    </row>
    <row r="59" customFormat="false" ht="15" hidden="false" customHeight="false" outlineLevel="0" collapsed="false">
      <c r="A59" s="4" t="n">
        <v>2.2</v>
      </c>
      <c r="B59" s="13" t="n">
        <f aca="false">IFERROR(INDEX(Fig4c_Loci!$C$11:$C$161,IFERROR(MATCH($A59,Fig4c_Loci!$B$11:$B$161,-1)+1,1)),NA())</f>
        <v>0.0659845610691156</v>
      </c>
      <c r="C59" s="8" t="n">
        <f aca="false">IFERROR(INDEX(Fig4c_Loci!$A$11:$A$161,IFERROR(MATCH($A59,Fig4c_Loci!$B$11:$B$161,-1)+1,1)),NA())</f>
        <v>27</v>
      </c>
      <c r="D59" s="13" t="n">
        <f aca="false">IFERROR(INDEX(Fig4c_Loci!$E$11:$E$161,IFERROR(MATCH($A59,Fig4c_Loci!$D$11:$D$161,-1)+1,1)),NA())</f>
        <v>0.0769238672887917</v>
      </c>
      <c r="E59" s="8" t="n">
        <f aca="false">IFERROR(INDEX(Fig4c_Loci!$A$11:$A$161,IFERROR(MATCH($A59,Fig4c_Loci!$D$11:$D$161,-1)+1,1)),NA())</f>
        <v>28</v>
      </c>
      <c r="F59" s="13" t="n">
        <f aca="false">IFERROR(INDEX(Fig4c_Loci!$G$11:$G$161,IFERROR(MATCH($A59,Fig4c_Loci!$F$11:$F$161,-1)+1,1)),NA())</f>
        <v>0.100069625556626</v>
      </c>
      <c r="G59" s="8" t="n">
        <f aca="false">IFERROR(INDEX(Fig4c_Loci!$A$11:$A$161,IFERROR(MATCH($A59,Fig4c_Loci!$F$11:$F$161,-1)+1,1)),NA())</f>
        <v>30.5</v>
      </c>
      <c r="H59" s="13" t="n">
        <f aca="false">IFERROR(INDEX(Fig4c_Loci!$I$11:$I$161,IFERROR(MATCH($A59,Fig4c_Loci!$H$11:$H$161,-1)+1,1)),NA())</f>
        <v>0.141998912821783</v>
      </c>
      <c r="I59" s="8" t="n">
        <f aca="false">IFERROR(INDEX(Fig4c_Loci!$A$11:$A$161,IFERROR(MATCH($A59,Fig4c_Loci!$H$11:$H$161,-1)+1,1)),NA())</f>
        <v>33.5</v>
      </c>
      <c r="J59" s="13" t="n">
        <f aca="false">IFERROR(INDEX(Fig4c_Loci!$K$11:$K$161,IFERROR(MATCH($A59,Fig4c_Loci!$J$11:$J$161,-1)+1,1)),NA())</f>
        <v>0.491453908754465</v>
      </c>
      <c r="K59" s="8" t="n">
        <f aca="false">IFERROR(INDEX(Fig4c_Loci!$A$11:$A$161,IFERROR(MATCH($A59,Fig4c_Loci!$J$11:$J$161,-1)+1,1)),NA())</f>
        <v>36.5</v>
      </c>
    </row>
    <row r="60" customFormat="false" ht="15" hidden="false" customHeight="false" outlineLevel="0" collapsed="false">
      <c r="A60" s="4" t="n">
        <v>2.22</v>
      </c>
      <c r="B60" s="13" t="n">
        <f aca="false">IFERROR(INDEX(Fig4c_Loci!$C$11:$C$161,IFERROR(MATCH($A60,Fig4c_Loci!$B$11:$B$161,-1)+1,1)),NA())</f>
        <v>0.0665737916913083</v>
      </c>
      <c r="C60" s="8" t="n">
        <f aca="false">IFERROR(INDEX(Fig4c_Loci!$A$11:$A$161,IFERROR(MATCH($A60,Fig4c_Loci!$B$11:$B$161,-1)+1,1)),NA())</f>
        <v>26.5</v>
      </c>
      <c r="D60" s="13" t="n">
        <f aca="false">IFERROR(INDEX(Fig4c_Loci!$E$11:$E$161,IFERROR(MATCH($A60,Fig4c_Loci!$D$11:$D$161,-1)+1,1)),NA())</f>
        <v>0.0777455313354111</v>
      </c>
      <c r="E60" s="8" t="n">
        <f aca="false">IFERROR(INDEX(Fig4c_Loci!$A$11:$A$161,IFERROR(MATCH($A60,Fig4c_Loci!$D$11:$D$161,-1)+1,1)),NA())</f>
        <v>27.5</v>
      </c>
      <c r="F60" s="13" t="n">
        <f aca="false">IFERROR(INDEX(Fig4c_Loci!$G$11:$G$161,IFERROR(MATCH($A60,Fig4c_Loci!$F$11:$F$161,-1)+1,1)),NA())</f>
        <v>0.101391132413493</v>
      </c>
      <c r="G60" s="8" t="n">
        <f aca="false">IFERROR(INDEX(Fig4c_Loci!$A$11:$A$161,IFERROR(MATCH($A60,Fig4c_Loci!$F$11:$F$161,-1)+1,1)),NA())</f>
        <v>30</v>
      </c>
      <c r="H60" s="13" t="n">
        <f aca="false">IFERROR(INDEX(Fig4c_Loci!$I$11:$I$161,IFERROR(MATCH($A60,Fig4c_Loci!$H$11:$H$161,-1)+1,1)),NA())</f>
        <v>0.144168678631448</v>
      </c>
      <c r="I60" s="8" t="n">
        <f aca="false">IFERROR(INDEX(Fig4c_Loci!$A$11:$A$161,IFERROR(MATCH($A60,Fig4c_Loci!$H$11:$H$161,-1)+1,1)),NA())</f>
        <v>33</v>
      </c>
      <c r="J60" s="13" t="n">
        <f aca="false">IFERROR(INDEX(Fig4c_Loci!$K$11:$K$161,IFERROR(MATCH($A60,Fig4c_Loci!$J$11:$J$161,-1)+1,1)),NA())</f>
        <v>0.500387888549363</v>
      </c>
      <c r="K60" s="8" t="n">
        <f aca="false">IFERROR(INDEX(Fig4c_Loci!$A$11:$A$161,IFERROR(MATCH($A60,Fig4c_Loci!$J$11:$J$161,-1)+1,1)),NA())</f>
        <v>36</v>
      </c>
    </row>
    <row r="61" customFormat="false" ht="15" hidden="false" customHeight="false" outlineLevel="0" collapsed="false">
      <c r="A61" s="4" t="n">
        <v>2.24</v>
      </c>
      <c r="B61" s="13" t="n">
        <f aca="false">IFERROR(INDEX(Fig4c_Loci!$C$11:$C$161,IFERROR(MATCH($A61,Fig4c_Loci!$B$11:$B$161,-1)+1,1)),NA())</f>
        <v>0.0671722342087461</v>
      </c>
      <c r="C61" s="8" t="n">
        <f aca="false">IFERROR(INDEX(Fig4c_Loci!$A$11:$A$161,IFERROR(MATCH($A61,Fig4c_Loci!$B$11:$B$161,-1)+1,1)),NA())</f>
        <v>26</v>
      </c>
      <c r="D61" s="13" t="n">
        <f aca="false">IFERROR(INDEX(Fig4c_Loci!$E$11:$E$161,IFERROR(MATCH($A61,Fig4c_Loci!$D$11:$D$161,-1)+1,1)),NA())</f>
        <v>0.07858220754172</v>
      </c>
      <c r="E61" s="8" t="n">
        <f aca="false">IFERROR(INDEX(Fig4c_Loci!$A$11:$A$161,IFERROR(MATCH($A61,Fig4c_Loci!$D$11:$D$161,-1)+1,1)),NA())</f>
        <v>27</v>
      </c>
      <c r="F61" s="13" t="n">
        <f aca="false">IFERROR(INDEX(Fig4c_Loci!$G$11:$G$161,IFERROR(MATCH($A61,Fig4c_Loci!$F$11:$F$161,-1)+1,1)),NA())</f>
        <v>0.102740692046097</v>
      </c>
      <c r="G61" s="8" t="n">
        <f aca="false">IFERROR(INDEX(Fig4c_Loci!$A$11:$A$161,IFERROR(MATCH($A61,Fig4c_Loci!$F$11:$F$161,-1)+1,1)),NA())</f>
        <v>29.5</v>
      </c>
      <c r="H61" s="13" t="n">
        <f aca="false">IFERROR(INDEX(Fig4c_Loci!$I$11:$I$161,IFERROR(MATCH($A61,Fig4c_Loci!$H$11:$H$161,-1)+1,1)),NA())</f>
        <v>0.146386907554707</v>
      </c>
      <c r="I61" s="8" t="n">
        <f aca="false">IFERROR(INDEX(Fig4c_Loci!$A$11:$A$161,IFERROR(MATCH($A61,Fig4c_Loci!$H$11:$H$161,-1)+1,1)),NA())</f>
        <v>32.5</v>
      </c>
      <c r="J61" s="13" t="n">
        <f aca="false">IFERROR(INDEX(Fig4c_Loci!$K$11:$K$161,IFERROR(MATCH($A61,Fig4c_Loci!$J$11:$J$161,-1)+1,1)),NA())</f>
        <v>0.50952414147137</v>
      </c>
      <c r="K61" s="8" t="n">
        <f aca="false">IFERROR(INDEX(Fig4c_Loci!$A$11:$A$161,IFERROR(MATCH($A61,Fig4c_Loci!$J$11:$J$161,-1)+1,1)),NA())</f>
        <v>35.5</v>
      </c>
    </row>
    <row r="62" customFormat="false" ht="15" hidden="false" customHeight="false" outlineLevel="0" collapsed="false">
      <c r="A62" s="4" t="n">
        <v>2.26</v>
      </c>
      <c r="B62" s="13" t="n">
        <f aca="false">IFERROR(INDEX(Fig4c_Loci!$C$11:$C$161,IFERROR(MATCH($A62,Fig4c_Loci!$B$11:$B$161,-1)+1,1)),NA())</f>
        <v>0.0683976319816994</v>
      </c>
      <c r="C62" s="8" t="n">
        <f aca="false">IFERROR(INDEX(Fig4c_Loci!$A$11:$A$161,IFERROR(MATCH($A62,Fig4c_Loci!$B$11:$B$161,-1)+1,1)),NA())</f>
        <v>25</v>
      </c>
      <c r="D62" s="13" t="n">
        <f aca="false">IFERROR(INDEX(Fig4c_Loci!$E$11:$E$161,IFERROR(MATCH($A62,Fig4c_Loci!$D$11:$D$161,-1)+1,1)),NA())</f>
        <v>0.0794343107589228</v>
      </c>
      <c r="E62" s="8" t="n">
        <f aca="false">IFERROR(INDEX(Fig4c_Loci!$A$11:$A$161,IFERROR(MATCH($A62,Fig4c_Loci!$D$11:$D$161,-1)+1,1)),NA())</f>
        <v>26.5</v>
      </c>
      <c r="F62" s="13" t="n">
        <f aca="false">IFERROR(INDEX(Fig4c_Loci!$G$11:$G$161,IFERROR(MATCH($A62,Fig4c_Loci!$F$11:$F$161,-1)+1,1)),NA())</f>
        <v>0.104119206382638</v>
      </c>
      <c r="G62" s="8" t="n">
        <f aca="false">IFERROR(INDEX(Fig4c_Loci!$A$11:$A$161,IFERROR(MATCH($A62,Fig4c_Loci!$F$11:$F$161,-1)+1,1)),NA())</f>
        <v>29</v>
      </c>
      <c r="H62" s="13" t="n">
        <f aca="false">IFERROR(INDEX(Fig4c_Loci!$I$11:$I$161,IFERROR(MATCH($A62,Fig4c_Loci!$H$11:$H$161,-1)+1,1)),NA())</f>
        <v>0.148655239492323</v>
      </c>
      <c r="I62" s="8" t="n">
        <f aca="false">IFERROR(INDEX(Fig4c_Loci!$A$11:$A$161,IFERROR(MATCH($A62,Fig4c_Loci!$H$11:$H$161,-1)+1,1)),NA())</f>
        <v>32</v>
      </c>
      <c r="J62" s="13" t="n">
        <f aca="false">IFERROR(INDEX(Fig4c_Loci!$K$11:$K$161,IFERROR(MATCH($A62,Fig4c_Loci!$J$11:$J$161,-1)+1,1)),NA())</f>
        <v>0.51886960338536</v>
      </c>
      <c r="K62" s="8" t="n">
        <f aca="false">IFERROR(INDEX(Fig4c_Loci!$A$11:$A$161,IFERROR(MATCH($A62,Fig4c_Loci!$J$11:$J$161,-1)+1,1)),NA())</f>
        <v>35</v>
      </c>
    </row>
    <row r="63" customFormat="false" ht="15" hidden="false" customHeight="false" outlineLevel="0" collapsed="false">
      <c r="A63" s="4" t="n">
        <v>2.28</v>
      </c>
      <c r="B63" s="13" t="n">
        <f aca="false">IFERROR(INDEX(Fig4c_Loci!$C$11:$C$161,IFERROR(MATCH($A63,Fig4c_Loci!$B$11:$B$161,-1)+1,1)),NA())</f>
        <v>0.0690250432988713</v>
      </c>
      <c r="C63" s="8" t="n">
        <f aca="false">IFERROR(INDEX(Fig4c_Loci!$A$11:$A$161,IFERROR(MATCH($A63,Fig4c_Loci!$B$11:$B$161,-1)+1,1)),NA())</f>
        <v>24.5</v>
      </c>
      <c r="D63" s="13" t="n">
        <f aca="false">IFERROR(INDEX(Fig4c_Loci!$E$11:$E$161,IFERROR(MATCH($A63,Fig4c_Loci!$D$11:$D$161,-1)+1,1)),NA())</f>
        <v>0.0803022712657817</v>
      </c>
      <c r="E63" s="8" t="n">
        <f aca="false">IFERROR(INDEX(Fig4c_Loci!$A$11:$A$161,IFERROR(MATCH($A63,Fig4c_Loci!$D$11:$D$161,-1)+1,1)),NA())</f>
        <v>26</v>
      </c>
      <c r="F63" s="13" t="n">
        <f aca="false">IFERROR(INDEX(Fig4c_Loci!$G$11:$G$161,IFERROR(MATCH($A63,Fig4c_Loci!$F$11:$F$161,-1)+1,1)),NA())</f>
        <v>0.105527616433987</v>
      </c>
      <c r="G63" s="8" t="n">
        <f aca="false">IFERROR(INDEX(Fig4c_Loci!$A$11:$A$161,IFERROR(MATCH($A63,Fig4c_Loci!$F$11:$F$161,-1)+1,1)),NA())</f>
        <v>28.5</v>
      </c>
      <c r="H63" s="13" t="n">
        <f aca="false">IFERROR(INDEX(Fig4c_Loci!$I$11:$I$161,IFERROR(MATCH($A63,Fig4c_Loci!$H$11:$H$161,-1)+1,1)),NA())</f>
        <v>0.153349150490525</v>
      </c>
      <c r="I63" s="8" t="n">
        <f aca="false">IFERROR(INDEX(Fig4c_Loci!$A$11:$A$161,IFERROR(MATCH($A63,Fig4c_Loci!$H$11:$H$161,-1)+1,1)),NA())</f>
        <v>31</v>
      </c>
      <c r="J63" s="13" t="n">
        <f aca="false">IFERROR(INDEX(Fig4c_Loci!$K$11:$K$161,IFERROR(MATCH($A63,Fig4c_Loci!$J$11:$J$161,-1)+1,1)),NA())</f>
        <v>0.528431530924077</v>
      </c>
      <c r="K63" s="8" t="n">
        <f aca="false">IFERROR(INDEX(Fig4c_Loci!$A$11:$A$161,IFERROR(MATCH($A63,Fig4c_Loci!$J$11:$J$161,-1)+1,1)),NA())</f>
        <v>34.5</v>
      </c>
    </row>
    <row r="64" customFormat="false" ht="15" hidden="false" customHeight="false" outlineLevel="0" collapsed="false">
      <c r="A64" s="4" t="n">
        <v>2.3</v>
      </c>
      <c r="B64" s="13" t="n">
        <f aca="false">IFERROR(INDEX(Fig4c_Loci!$C$11:$C$161,IFERROR(MATCH($A64,Fig4c_Loci!$B$11:$B$161,-1)+1,1)),NA())</f>
        <v>0.0696625792000808</v>
      </c>
      <c r="C64" s="8" t="n">
        <f aca="false">IFERROR(INDEX(Fig4c_Loci!$A$11:$A$161,IFERROR(MATCH($A64,Fig4c_Loci!$B$11:$B$161,-1)+1,1)),NA())</f>
        <v>24</v>
      </c>
      <c r="D64" s="13" t="n">
        <f aca="false">IFERROR(INDEX(Fig4c_Loci!$E$11:$E$161,IFERROR(MATCH($A64,Fig4c_Loci!$D$11:$D$161,-1)+1,1)),NA())</f>
        <v>0.0820875667857523</v>
      </c>
      <c r="E64" s="8" t="n">
        <f aca="false">IFERROR(INDEX(Fig4c_Loci!$A$11:$A$161,IFERROR(MATCH($A64,Fig4c_Loci!$D$11:$D$161,-1)+1,1)),NA())</f>
        <v>25</v>
      </c>
      <c r="F64" s="13" t="n">
        <f aca="false">IFERROR(INDEX(Fig4c_Loci!$G$11:$G$161,IFERROR(MATCH($A64,Fig4c_Loci!$F$11:$F$161,-1)+1,1)),NA())</f>
        <v>0.106966904433795</v>
      </c>
      <c r="G64" s="8" t="n">
        <f aca="false">IFERROR(INDEX(Fig4c_Loci!$A$11:$A$161,IFERROR(MATCH($A64,Fig4c_Loci!$F$11:$F$161,-1)+1,1)),NA())</f>
        <v>28</v>
      </c>
      <c r="H64" s="13" t="n">
        <f aca="false">IFERROR(INDEX(Fig4c_Loci!$I$11:$I$161,IFERROR(MATCH($A64,Fig4c_Loci!$H$11:$H$161,-1)+1,1)),NA())</f>
        <v>0.155778401084886</v>
      </c>
      <c r="I64" s="8" t="n">
        <f aca="false">IFERROR(INDEX(Fig4c_Loci!$A$11:$A$161,IFERROR(MATCH($A64,Fig4c_Loci!$H$11:$H$161,-1)+1,1)),NA())</f>
        <v>30.5</v>
      </c>
      <c r="J64" s="13" t="n">
        <f aca="false">IFERROR(INDEX(Fig4c_Loci!$K$11:$K$161,IFERROR(MATCH($A64,Fig4c_Loci!$J$11:$J$161,-1)+1,1)),NA())</f>
        <v>0.538217520248518</v>
      </c>
      <c r="K64" s="8" t="n">
        <f aca="false">IFERROR(INDEX(Fig4c_Loci!$A$11:$A$161,IFERROR(MATCH($A64,Fig4c_Loci!$J$11:$J$161,-1)+1,1)),NA())</f>
        <v>34</v>
      </c>
    </row>
    <row r="65" customFormat="false" ht="15" hidden="false" customHeight="false" outlineLevel="0" collapsed="false">
      <c r="A65" s="4" t="n">
        <v>2.32</v>
      </c>
      <c r="B65" s="13" t="n">
        <f aca="false">IFERROR(INDEX(Fig4c_Loci!$C$11:$C$161,IFERROR(MATCH($A65,Fig4c_Loci!$B$11:$B$161,-1)+1,1)),NA())</f>
        <v>0.0703104865480995</v>
      </c>
      <c r="C65" s="8" t="n">
        <f aca="false">IFERROR(INDEX(Fig4c_Loci!$A$11:$A$161,IFERROR(MATCH($A65,Fig4c_Loci!$B$11:$B$161,-1)+1,1)),NA())</f>
        <v>23.5</v>
      </c>
      <c r="D65" s="13" t="n">
        <f aca="false">IFERROR(INDEX(Fig4c_Loci!$E$11:$E$161,IFERROR(MATCH($A65,Fig4c_Loci!$D$11:$D$161,-1)+1,1)),NA())</f>
        <v>0.0830058462176075</v>
      </c>
      <c r="E65" s="8" t="n">
        <f aca="false">IFERROR(INDEX(Fig4c_Loci!$A$11:$A$161,IFERROR(MATCH($A65,Fig4c_Loci!$D$11:$D$161,-1)+1,1)),NA())</f>
        <v>24.5</v>
      </c>
      <c r="F65" s="13" t="n">
        <f aca="false">IFERROR(INDEX(Fig4c_Loci!$G$11:$G$161,IFERROR(MATCH($A65,Fig4c_Loci!$F$11:$F$161,-1)+1,1)),NA())</f>
        <v>0.108438096120793</v>
      </c>
      <c r="G65" s="8" t="n">
        <f aca="false">IFERROR(INDEX(Fig4c_Loci!$A$11:$A$161,IFERROR(MATCH($A65,Fig4c_Loci!$F$11:$F$161,-1)+1,1)),NA())</f>
        <v>27.5</v>
      </c>
      <c r="H65" s="13" t="n">
        <f aca="false">IFERROR(INDEX(Fig4c_Loci!$I$11:$I$161,IFERROR(MATCH($A65,Fig4c_Loci!$H$11:$H$161,-1)+1,1)),NA())</f>
        <v>0.158265107328782</v>
      </c>
      <c r="I65" s="8" t="n">
        <f aca="false">IFERROR(INDEX(Fig4c_Loci!$A$11:$A$161,IFERROR(MATCH($A65,Fig4c_Loci!$H$11:$H$161,-1)+1,1)),NA())</f>
        <v>30</v>
      </c>
      <c r="J65" s="13" t="n">
        <f aca="false">IFERROR(INDEX(Fig4c_Loci!$K$11:$K$161,IFERROR(MATCH($A65,Fig4c_Loci!$J$11:$J$161,-1)+1,1)),NA())</f>
        <v>0.548235527140551</v>
      </c>
      <c r="K65" s="8" t="n">
        <f aca="false">IFERROR(INDEX(Fig4c_Loci!$A$11:$A$161,IFERROR(MATCH($A65,Fig4c_Loci!$J$11:$J$161,-1)+1,1)),NA())</f>
        <v>33.5</v>
      </c>
    </row>
    <row r="66" customFormat="false" ht="15" hidden="false" customHeight="false" outlineLevel="0" collapsed="false">
      <c r="A66" s="4" t="n">
        <v>2.34</v>
      </c>
      <c r="B66" s="13" t="n">
        <f aca="false">IFERROR(INDEX(Fig4c_Loci!$C$11:$C$161,IFERROR(MATCH($A66,Fig4c_Loci!$B$11:$B$161,-1)+1,1)),NA())</f>
        <v>0.0709690202969309</v>
      </c>
      <c r="C66" s="8" t="n">
        <f aca="false">IFERROR(INDEX(Fig4c_Loci!$A$11:$A$161,IFERROR(MATCH($A66,Fig4c_Loci!$B$11:$B$161,-1)+1,1)),NA())</f>
        <v>23</v>
      </c>
      <c r="D66" s="13" t="n">
        <f aca="false">IFERROR(INDEX(Fig4c_Loci!$E$11:$E$161,IFERROR(MATCH($A66,Fig4c_Loci!$D$11:$D$161,-1)+1,1)),NA())</f>
        <v>0.0839418734413276</v>
      </c>
      <c r="E66" s="8" t="n">
        <f aca="false">IFERROR(INDEX(Fig4c_Loci!$A$11:$A$161,IFERROR(MATCH($A66,Fig4c_Loci!$D$11:$D$161,-1)+1,1)),NA())</f>
        <v>24</v>
      </c>
      <c r="F66" s="13" t="n">
        <f aca="false">IFERROR(INDEX(Fig4c_Loci!$G$11:$G$161,IFERROR(MATCH($A66,Fig4c_Loci!$F$11:$F$161,-1)+1,1)),NA())</f>
        <v>0.111480525815947</v>
      </c>
      <c r="G66" s="8" t="n">
        <f aca="false">IFERROR(INDEX(Fig4c_Loci!$A$11:$A$161,IFERROR(MATCH($A66,Fig4c_Loci!$F$11:$F$161,-1)+1,1)),NA())</f>
        <v>26.5</v>
      </c>
      <c r="H66" s="13" t="n">
        <f aca="false">IFERROR(INDEX(Fig4c_Loci!$I$11:$I$161,IFERROR(MATCH($A66,Fig4c_Loci!$H$11:$H$161,-1)+1,1)),NA())</f>
        <v>0.160811329610508</v>
      </c>
      <c r="I66" s="8" t="n">
        <f aca="false">IFERROR(INDEX(Fig4c_Loci!$A$11:$A$161,IFERROR(MATCH($A66,Fig4c_Loci!$H$11:$H$161,-1)+1,1)),NA())</f>
        <v>29.5</v>
      </c>
      <c r="J66" s="13" t="n">
        <f aca="false">IFERROR(INDEX(Fig4c_Loci!$K$11:$K$161,IFERROR(MATCH($A66,Fig4c_Loci!$J$11:$J$161,-1)+1,1)),NA())</f>
        <v>0.558493888539485</v>
      </c>
      <c r="K66" s="8" t="n">
        <f aca="false">IFERROR(INDEX(Fig4c_Loci!$A$11:$A$161,IFERROR(MATCH($A66,Fig4c_Loci!$J$11:$J$161,-1)+1,1)),NA())</f>
        <v>33</v>
      </c>
    </row>
    <row r="67" customFormat="false" ht="15" hidden="false" customHeight="false" outlineLevel="0" collapsed="false">
      <c r="A67" s="4" t="n">
        <v>2.36</v>
      </c>
      <c r="B67" s="13" t="n">
        <f aca="false">IFERROR(INDEX(Fig4c_Loci!$C$11:$C$161,IFERROR(MATCH($A67,Fig4c_Loci!$B$11:$B$161,-1)+1,1)),NA())</f>
        <v>0.071638443826049</v>
      </c>
      <c r="C67" s="8" t="n">
        <f aca="false">IFERROR(INDEX(Fig4c_Loci!$A$11:$A$161,IFERROR(MATCH($A67,Fig4c_Loci!$B$11:$B$161,-1)+1,1)),NA())</f>
        <v>22.5</v>
      </c>
      <c r="D67" s="13" t="n">
        <f aca="false">IFERROR(INDEX(Fig4c_Loci!$E$11:$E$161,IFERROR(MATCH($A67,Fig4c_Loci!$D$11:$D$161,-1)+1,1)),NA())</f>
        <v>0.0848961675972255</v>
      </c>
      <c r="E67" s="8" t="n">
        <f aca="false">IFERROR(INDEX(Fig4c_Loci!$A$11:$A$161,IFERROR(MATCH($A67,Fig4c_Loci!$D$11:$D$161,-1)+1,1)),NA())</f>
        <v>23.5</v>
      </c>
      <c r="F67" s="13" t="n">
        <f aca="false">IFERROR(INDEX(Fig4c_Loci!$G$11:$G$161,IFERROR(MATCH($A67,Fig4c_Loci!$F$11:$F$161,-1)+1,1)),NA())</f>
        <v>0.113054055588303</v>
      </c>
      <c r="G67" s="8" t="n">
        <f aca="false">IFERROR(INDEX(Fig4c_Loci!$A$11:$A$161,IFERROR(MATCH($A67,Fig4c_Loci!$F$11:$F$161,-1)+1,1)),NA())</f>
        <v>26</v>
      </c>
      <c r="H67" s="13" t="n">
        <f aca="false">IFERROR(INDEX(Fig4c_Loci!$I$11:$I$161,IFERROR(MATCH($A67,Fig4c_Loci!$H$11:$H$161,-1)+1,1)),NA())</f>
        <v>0.163419228025117</v>
      </c>
      <c r="I67" s="8" t="n">
        <f aca="false">IFERROR(INDEX(Fig4c_Loci!$A$11:$A$161,IFERROR(MATCH($A67,Fig4c_Loci!$H$11:$H$161,-1)+1,1)),NA())</f>
        <v>29</v>
      </c>
      <c r="J67" s="13" t="n">
        <f aca="false">IFERROR(INDEX(Fig4c_Loci!$K$11:$K$161,IFERROR(MATCH($A67,Fig4c_Loci!$J$11:$J$161,-1)+1,1)),NA())</f>
        <v>0.569001345645102</v>
      </c>
      <c r="K67" s="8" t="n">
        <f aca="false">IFERROR(INDEX(Fig4c_Loci!$A$11:$A$161,IFERROR(MATCH($A67,Fig4c_Loci!$J$11:$J$161,-1)+1,1)),NA())</f>
        <v>32.5</v>
      </c>
    </row>
    <row r="68" customFormat="false" ht="15" hidden="false" customHeight="false" outlineLevel="0" collapsed="false">
      <c r="A68" s="4" t="n">
        <v>2.38</v>
      </c>
      <c r="B68" s="13" t="n">
        <f aca="false">IFERROR(INDEX(Fig4c_Loci!$C$11:$C$161,IFERROR(MATCH($A68,Fig4c_Loci!$B$11:$B$161,-1)+1,1)),NA())</f>
        <v>0.0723190292913441</v>
      </c>
      <c r="C68" s="8" t="n">
        <f aca="false">IFERROR(INDEX(Fig4c_Loci!$A$11:$A$161,IFERROR(MATCH($A68,Fig4c_Loci!$B$11:$B$161,-1)+1,1)),NA())</f>
        <v>22</v>
      </c>
      <c r="D68" s="13" t="n">
        <f aca="false">IFERROR(INDEX(Fig4c_Loci!$E$11:$E$161,IFERROR(MATCH($A68,Fig4c_Loci!$D$11:$D$161,-1)+1,1)),NA())</f>
        <v>0.0858692682720411</v>
      </c>
      <c r="E68" s="8" t="n">
        <f aca="false">IFERROR(INDEX(Fig4c_Loci!$A$11:$A$161,IFERROR(MATCH($A68,Fig4c_Loci!$D$11:$D$161,-1)+1,1)),NA())</f>
        <v>23</v>
      </c>
      <c r="F68" s="13" t="n">
        <f aca="false">IFERROR(INDEX(Fig4c_Loci!$G$11:$G$161,IFERROR(MATCH($A68,Fig4c_Loci!$F$11:$F$161,-1)+1,1)),NA())</f>
        <v>0.114664078329223</v>
      </c>
      <c r="G68" s="8" t="n">
        <f aca="false">IFERROR(INDEX(Fig4c_Loci!$A$11:$A$161,IFERROR(MATCH($A68,Fig4c_Loci!$F$11:$F$161,-1)+1,1)),NA())</f>
        <v>25.5</v>
      </c>
      <c r="H68" s="13" t="n">
        <f aca="false">IFERROR(INDEX(Fig4c_Loci!$I$11:$I$161,IFERROR(MATCH($A68,Fig4c_Loci!$H$11:$H$161,-1)+1,1)),NA())</f>
        <v>0.166091068479572</v>
      </c>
      <c r="I68" s="8" t="n">
        <f aca="false">IFERROR(INDEX(Fig4c_Loci!$A$11:$A$161,IFERROR(MATCH($A68,Fig4c_Loci!$H$11:$H$161,-1)+1,1)),NA())</f>
        <v>28.5</v>
      </c>
      <c r="J68" s="13" t="n">
        <f aca="false">IFERROR(INDEX(Fig4c_Loci!$K$11:$K$161,IFERROR(MATCH($A68,Fig4c_Loci!$J$11:$J$161,-1)+1,1)),NA())</f>
        <v>0.579767068721723</v>
      </c>
      <c r="K68" s="8" t="n">
        <f aca="false">IFERROR(INDEX(Fig4c_Loci!$A$11:$A$161,IFERROR(MATCH($A68,Fig4c_Loci!$J$11:$J$161,-1)+1,1)),NA())</f>
        <v>32</v>
      </c>
    </row>
    <row r="69" customFormat="false" ht="15" hidden="false" customHeight="false" outlineLevel="0" collapsed="false">
      <c r="A69" s="4" t="n">
        <v>2.4</v>
      </c>
      <c r="B69" s="13" t="n">
        <f aca="false">IFERROR(INDEX(Fig4c_Loci!$C$11:$C$161,IFERROR(MATCH($A69,Fig4c_Loci!$B$11:$B$161,-1)+1,1)),NA())</f>
        <v>0.0737148207666488</v>
      </c>
      <c r="C69" s="8" t="n">
        <f aca="false">IFERROR(INDEX(Fig4c_Loci!$A$11:$A$161,IFERROR(MATCH($A69,Fig4c_Loci!$B$11:$B$161,-1)+1,1)),NA())</f>
        <v>21</v>
      </c>
      <c r="D69" s="13" t="n">
        <f aca="false">IFERROR(INDEX(Fig4c_Loci!$E$11:$E$161,IFERROR(MATCH($A69,Fig4c_Loci!$D$11:$D$161,-1)+1,1)),NA())</f>
        <v>0.0868617365155585</v>
      </c>
      <c r="E69" s="8" t="n">
        <f aca="false">IFERROR(INDEX(Fig4c_Loci!$A$11:$A$161,IFERROR(MATCH($A69,Fig4c_Loci!$D$11:$D$161,-1)+1,1)),NA())</f>
        <v>22.5</v>
      </c>
      <c r="F69" s="13" t="n">
        <f aca="false">IFERROR(INDEX(Fig4c_Loci!$G$11:$G$161,IFERROR(MATCH($A69,Fig4c_Loci!$F$11:$F$161,-1)+1,1)),NA())</f>
        <v>0.116311877353441</v>
      </c>
      <c r="G69" s="8" t="n">
        <f aca="false">IFERROR(INDEX(Fig4c_Loci!$A$11:$A$161,IFERROR(MATCH($A69,Fig4c_Loci!$F$11:$F$161,-1)+1,1)),NA())</f>
        <v>25</v>
      </c>
      <c r="H69" s="13" t="n">
        <f aca="false">IFERROR(INDEX(Fig4c_Loci!$I$11:$I$161,IFERROR(MATCH($A69,Fig4c_Loci!$H$11:$H$161,-1)+1,1)),NA())</f>
        <v>0.168829229252044</v>
      </c>
      <c r="I69" s="8" t="n">
        <f aca="false">IFERROR(INDEX(Fig4c_Loci!$A$11:$A$161,IFERROR(MATCH($A69,Fig4c_Loci!$H$11:$H$161,-1)+1,1)),NA())</f>
        <v>28</v>
      </c>
      <c r="J69" s="13" t="n">
        <f aca="false">IFERROR(INDEX(Fig4c_Loci!$K$11:$K$161,IFERROR(MATCH($A69,Fig4c_Loci!$J$11:$J$161,-1)+1,1)),NA())</f>
        <v>0.590800683751233</v>
      </c>
      <c r="K69" s="8" t="n">
        <f aca="false">IFERROR(INDEX(Fig4c_Loci!$A$11:$A$161,IFERROR(MATCH($A69,Fig4c_Loci!$J$11:$J$161,-1)+1,1)),NA())</f>
        <v>31.5</v>
      </c>
    </row>
    <row r="71" customFormat="false" ht="15" hidden="false" customHeight="false" outlineLevel="0" collapsed="false">
      <c r="A71" s="3" t="s">
        <v>178</v>
      </c>
    </row>
    <row r="72" customFormat="false" ht="15" hidden="false" customHeight="false" outlineLevel="0" collapsed="false">
      <c r="A72" s="5" t="s">
        <v>167</v>
      </c>
      <c r="B72" s="5" t="s">
        <v>176</v>
      </c>
      <c r="C72" s="5" t="s">
        <v>179</v>
      </c>
    </row>
    <row r="73" customFormat="false" ht="15" hidden="false" customHeight="false" outlineLevel="0" collapsed="false">
      <c r="A73" s="4" t="n">
        <v>1.6</v>
      </c>
      <c r="B73" s="9" t="n">
        <f aca="false">INDEX($J$4:$J$69,MATCH(A73,$A$4:$A$69,0))</f>
        <v>0.230116830976477</v>
      </c>
      <c r="C73" s="8" t="n">
        <f aca="false">INDEX($K$4:$K$69,MATCH(A73,$A$4:$A$69,0))</f>
        <v>58.5</v>
      </c>
    </row>
    <row r="74" customFormat="false" ht="15" hidden="false" customHeight="false" outlineLevel="0" collapsed="false">
      <c r="A74" s="4" t="n">
        <v>1.8</v>
      </c>
      <c r="B74" s="9" t="n">
        <f aca="false">INDEX($J$4:$J$69,MATCH(A74,$A$4:$A$69,0))</f>
        <v>0.307823273807085</v>
      </c>
      <c r="C74" s="8" t="n">
        <f aca="false">INDEX($K$4:$K$69,MATCH(A74,$A$4:$A$69,0))</f>
        <v>50</v>
      </c>
    </row>
    <row r="76" customFormat="false" ht="15" hidden="false" customHeight="false" outlineLevel="0" collapsed="false">
      <c r="A76" s="7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2026-09-07T14:46:33Z</dcterms:created>
  <dc:creator>openpyxl</dc:creator>
  <dc:description/>
  <dc:language>en-US</dc:language>
  <cp:lastModifiedBy/>
  <dcterms:modified xsi:type="dcterms:W3CDTF">2026-09-07T14:46:33Z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